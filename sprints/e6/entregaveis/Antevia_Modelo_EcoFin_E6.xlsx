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ellyangoes/Downloads/"/>
    </mc:Choice>
  </mc:AlternateContent>
  <xr:revisionPtr revIDLastSave="0" documentId="8_{78FA9C95-5923-5D48-B88F-1790B6E356C0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Premissas" sheetId="1" r:id="rId1"/>
    <sheet name="Receita" sheetId="2" r:id="rId2"/>
    <sheet name="DFC_A" sheetId="3" r:id="rId3"/>
    <sheet name="DFC_B" sheetId="4" r:id="rId4"/>
    <sheet name="Resumo" sheetId="5" r:id="rId5"/>
    <sheet name="Sensibilidade" sheetId="6" r:id="rId6"/>
    <sheet name="Receita_v2" sheetId="7" r:id="rId7"/>
    <sheet name="Tributacao_v3" sheetId="8" r:id="rId8"/>
    <sheet name="Stress_Test" sheetId="9" r:id="rId9"/>
    <sheet name="DFC_Final_A" sheetId="10" r:id="rId10"/>
    <sheet name="DFC_Final_B" sheetId="11" r:id="rId11"/>
    <sheet name="Entregaveis_E6" sheetId="12" r:id="rId12"/>
    <sheet name="Cenarios_Oficiais_v6" sheetId="13" r:id="rId13"/>
    <sheet name="Viabilidade_S06" sheetId="14" r:id="rId14"/>
    <sheet name="Plano_S06" sheetId="15" r:id="rId15"/>
    <sheet name="E6_Cobertura" sheetId="16" r:id="rId16"/>
    <sheet name="E6_Cenarios_Final" sheetId="17" r:id="rId17"/>
    <sheet name="E6_DFC_A_Final" sheetId="18" r:id="rId18"/>
    <sheet name="E6_DFC_B_Final" sheetId="19" r:id="rId19"/>
    <sheet name="E6_Pessoal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0" l="1"/>
  <c r="B29" i="20"/>
  <c r="B28" i="20"/>
  <c r="B27" i="20"/>
  <c r="B26" i="20"/>
  <c r="N25" i="20"/>
  <c r="B25" i="20"/>
  <c r="G20" i="20"/>
  <c r="H20" i="20" s="1"/>
  <c r="F20" i="20"/>
  <c r="F19" i="20"/>
  <c r="G19" i="20" s="1"/>
  <c r="H19" i="20" s="1"/>
  <c r="F18" i="20"/>
  <c r="G18" i="20" s="1"/>
  <c r="H18" i="20" s="1"/>
  <c r="F17" i="20"/>
  <c r="G17" i="20" s="1"/>
  <c r="H17" i="20" s="1"/>
  <c r="H16" i="20"/>
  <c r="G16" i="20"/>
  <c r="F16" i="20"/>
  <c r="F15" i="20"/>
  <c r="G15" i="20" s="1"/>
  <c r="H15" i="20" s="1"/>
  <c r="G14" i="20"/>
  <c r="H14" i="20" s="1"/>
  <c r="F14" i="20"/>
  <c r="F13" i="20"/>
  <c r="G13" i="20" s="1"/>
  <c r="H13" i="20" s="1"/>
  <c r="G12" i="20"/>
  <c r="H12" i="20" s="1"/>
  <c r="F12" i="20"/>
  <c r="M15" i="19"/>
  <c r="L15" i="19"/>
  <c r="K15" i="19"/>
  <c r="J15" i="19"/>
  <c r="I15" i="19"/>
  <c r="H15" i="19"/>
  <c r="G15" i="19"/>
  <c r="F15" i="19"/>
  <c r="E15" i="19"/>
  <c r="D15" i="19"/>
  <c r="C15" i="19"/>
  <c r="M13" i="19"/>
  <c r="L13" i="19"/>
  <c r="K13" i="19"/>
  <c r="I13" i="19"/>
  <c r="H13" i="19"/>
  <c r="G13" i="19"/>
  <c r="E13" i="19"/>
  <c r="D13" i="19"/>
  <c r="C13" i="19"/>
  <c r="M15" i="18"/>
  <c r="L15" i="18"/>
  <c r="K15" i="18"/>
  <c r="J15" i="18"/>
  <c r="I15" i="18"/>
  <c r="H15" i="18"/>
  <c r="G15" i="18"/>
  <c r="F15" i="18"/>
  <c r="E15" i="18"/>
  <c r="D15" i="18"/>
  <c r="C15" i="18"/>
  <c r="M13" i="18"/>
  <c r="L13" i="18"/>
  <c r="K13" i="18"/>
  <c r="I13" i="18"/>
  <c r="H13" i="18"/>
  <c r="G13" i="18"/>
  <c r="E13" i="18"/>
  <c r="D13" i="18"/>
  <c r="C13" i="18"/>
  <c r="E26" i="17"/>
  <c r="F26" i="17" s="1"/>
  <c r="G26" i="17" s="1"/>
  <c r="H26" i="17" s="1"/>
  <c r="I26" i="17" s="1"/>
  <c r="J26" i="17" s="1"/>
  <c r="K26" i="17" s="1"/>
  <c r="L26" i="17" s="1"/>
  <c r="M26" i="17" s="1"/>
  <c r="D26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B26" i="17" s="1"/>
  <c r="C26" i="17" s="1"/>
  <c r="B24" i="17"/>
  <c r="C24" i="17" s="1"/>
  <c r="M23" i="17"/>
  <c r="L23" i="17"/>
  <c r="K23" i="17"/>
  <c r="J23" i="17"/>
  <c r="I23" i="17"/>
  <c r="H23" i="17"/>
  <c r="G23" i="17"/>
  <c r="F23" i="17"/>
  <c r="E23" i="17"/>
  <c r="D23" i="17"/>
  <c r="C23" i="17"/>
  <c r="B23" i="17"/>
  <c r="E20" i="17"/>
  <c r="F20" i="17" s="1"/>
  <c r="G20" i="17" s="1"/>
  <c r="D20" i="17"/>
  <c r="B20" i="17"/>
  <c r="C20" i="17" s="1"/>
  <c r="M19" i="17"/>
  <c r="L19" i="17"/>
  <c r="K19" i="17"/>
  <c r="J19" i="17"/>
  <c r="I19" i="17"/>
  <c r="H19" i="17"/>
  <c r="G19" i="17"/>
  <c r="F19" i="17"/>
  <c r="E19" i="17"/>
  <c r="D19" i="17"/>
  <c r="C19" i="17"/>
  <c r="B19" i="17"/>
  <c r="B18" i="17"/>
  <c r="C18" i="17" s="1"/>
  <c r="D18" i="17" s="1"/>
  <c r="M17" i="17"/>
  <c r="L17" i="17"/>
  <c r="K17" i="17"/>
  <c r="J17" i="17"/>
  <c r="I17" i="17"/>
  <c r="H17" i="17"/>
  <c r="G17" i="17"/>
  <c r="F17" i="17"/>
  <c r="E17" i="17"/>
  <c r="D17" i="17"/>
  <c r="C17" i="17"/>
  <c r="B17" i="17"/>
  <c r="B14" i="17"/>
  <c r="C14" i="17" s="1"/>
  <c r="M13" i="17"/>
  <c r="L13" i="17"/>
  <c r="K13" i="17"/>
  <c r="J13" i="17"/>
  <c r="I13" i="17"/>
  <c r="H13" i="17"/>
  <c r="G13" i="17"/>
  <c r="F13" i="17"/>
  <c r="E13" i="17"/>
  <c r="D13" i="17"/>
  <c r="C13" i="17"/>
  <c r="B13" i="17"/>
  <c r="B12" i="17"/>
  <c r="C12" i="17" s="1"/>
  <c r="M11" i="17"/>
  <c r="L11" i="17"/>
  <c r="K11" i="17"/>
  <c r="J11" i="17"/>
  <c r="I11" i="17"/>
  <c r="H11" i="17"/>
  <c r="G11" i="17"/>
  <c r="F11" i="17"/>
  <c r="E11" i="17"/>
  <c r="D11" i="17"/>
  <c r="C11" i="17"/>
  <c r="B11" i="17"/>
  <c r="B5" i="14"/>
  <c r="M19" i="11"/>
  <c r="L19" i="11"/>
  <c r="K19" i="11"/>
  <c r="J19" i="11"/>
  <c r="I19" i="11"/>
  <c r="H19" i="11"/>
  <c r="G19" i="11"/>
  <c r="F19" i="11"/>
  <c r="E19" i="11"/>
  <c r="D19" i="11"/>
  <c r="C19" i="11"/>
  <c r="M15" i="11"/>
  <c r="L15" i="11"/>
  <c r="K15" i="11"/>
  <c r="I15" i="11"/>
  <c r="H15" i="11"/>
  <c r="G15" i="11"/>
  <c r="E15" i="11"/>
  <c r="D15" i="11"/>
  <c r="C15" i="11"/>
  <c r="J11" i="11"/>
  <c r="I11" i="11"/>
  <c r="B10" i="11"/>
  <c r="M7" i="11"/>
  <c r="C7" i="11"/>
  <c r="M19" i="10"/>
  <c r="L19" i="10"/>
  <c r="K19" i="10"/>
  <c r="J19" i="10"/>
  <c r="I19" i="10"/>
  <c r="H19" i="10"/>
  <c r="G19" i="10"/>
  <c r="F19" i="10"/>
  <c r="E19" i="10"/>
  <c r="D19" i="10"/>
  <c r="C19" i="10"/>
  <c r="M15" i="10"/>
  <c r="L15" i="10"/>
  <c r="K15" i="10"/>
  <c r="I15" i="10"/>
  <c r="H15" i="10"/>
  <c r="G15" i="10"/>
  <c r="E15" i="10"/>
  <c r="D15" i="10"/>
  <c r="C15" i="10"/>
  <c r="M11" i="10"/>
  <c r="H11" i="10"/>
  <c r="G11" i="10"/>
  <c r="F11" i="10"/>
  <c r="H10" i="10"/>
  <c r="M7" i="10"/>
  <c r="J34" i="9"/>
  <c r="I34" i="9"/>
  <c r="H34" i="9"/>
  <c r="F34" i="9"/>
  <c r="E34" i="9"/>
  <c r="L33" i="9"/>
  <c r="J33" i="9"/>
  <c r="I33" i="9"/>
  <c r="H33" i="9"/>
  <c r="G33" i="9"/>
  <c r="I29" i="9"/>
  <c r="H29" i="9"/>
  <c r="F29" i="9"/>
  <c r="E29" i="9"/>
  <c r="C29" i="9"/>
  <c r="B29" i="9"/>
  <c r="I28" i="9"/>
  <c r="H28" i="9"/>
  <c r="F28" i="9"/>
  <c r="D28" i="9"/>
  <c r="K24" i="9"/>
  <c r="J24" i="9"/>
  <c r="I24" i="9"/>
  <c r="H24" i="9"/>
  <c r="H23" i="9"/>
  <c r="G23" i="9"/>
  <c r="F23" i="9"/>
  <c r="D14" i="9"/>
  <c r="C14" i="9"/>
  <c r="G34" i="9" s="1"/>
  <c r="B14" i="9"/>
  <c r="B33" i="9" s="1"/>
  <c r="D13" i="9"/>
  <c r="C13" i="9"/>
  <c r="G29" i="9" s="1"/>
  <c r="B13" i="9"/>
  <c r="D12" i="9"/>
  <c r="M23" i="9" s="1"/>
  <c r="C12" i="9"/>
  <c r="G24" i="9" s="1"/>
  <c r="B12" i="9"/>
  <c r="M29" i="7"/>
  <c r="M30" i="7" s="1"/>
  <c r="L29" i="7"/>
  <c r="M27" i="7"/>
  <c r="J27" i="7"/>
  <c r="E27" i="7"/>
  <c r="D27" i="7"/>
  <c r="D5" i="4" s="1"/>
  <c r="C27" i="7"/>
  <c r="B27" i="7"/>
  <c r="M26" i="7"/>
  <c r="L26" i="7"/>
  <c r="K26" i="7"/>
  <c r="J26" i="7"/>
  <c r="I26" i="7"/>
  <c r="H26" i="7"/>
  <c r="G26" i="7"/>
  <c r="F26" i="7"/>
  <c r="E26" i="7"/>
  <c r="D26" i="7"/>
  <c r="C26" i="7"/>
  <c r="B26" i="7"/>
  <c r="M25" i="7"/>
  <c r="M28" i="7" s="1"/>
  <c r="L25" i="7"/>
  <c r="L28" i="7" s="1"/>
  <c r="K25" i="7"/>
  <c r="K28" i="7" s="1"/>
  <c r="K29" i="7" s="1"/>
  <c r="G25" i="7"/>
  <c r="G28" i="7" s="1"/>
  <c r="G29" i="7" s="1"/>
  <c r="M24" i="7"/>
  <c r="L24" i="7"/>
  <c r="L27" i="7" s="1"/>
  <c r="L5" i="4" s="1"/>
  <c r="K24" i="7"/>
  <c r="K27" i="7" s="1"/>
  <c r="K5" i="3" s="1"/>
  <c r="J24" i="7"/>
  <c r="I24" i="7"/>
  <c r="I27" i="7" s="1"/>
  <c r="H24" i="7"/>
  <c r="H27" i="7" s="1"/>
  <c r="G24" i="7"/>
  <c r="G27" i="7" s="1"/>
  <c r="F24" i="7"/>
  <c r="F27" i="7" s="1"/>
  <c r="E24" i="7"/>
  <c r="D24" i="7"/>
  <c r="C24" i="7"/>
  <c r="B24" i="7"/>
  <c r="P15" i="7"/>
  <c r="D15" i="7"/>
  <c r="P13" i="7"/>
  <c r="D13" i="7"/>
  <c r="C13" i="7"/>
  <c r="B13" i="7"/>
  <c r="P11" i="7"/>
  <c r="D11" i="7"/>
  <c r="D14" i="7" s="1"/>
  <c r="C11" i="7"/>
  <c r="B11" i="7"/>
  <c r="E25" i="7" s="1"/>
  <c r="E28" i="7" s="1"/>
  <c r="E29" i="7" s="1"/>
  <c r="D9" i="7"/>
  <c r="C9" i="7"/>
  <c r="D7" i="7"/>
  <c r="C7" i="7"/>
  <c r="B7" i="7"/>
  <c r="B9" i="7" s="1"/>
  <c r="P4" i="7"/>
  <c r="Q4" i="7" s="1"/>
  <c r="B7" i="5"/>
  <c r="J10" i="4"/>
  <c r="F10" i="4"/>
  <c r="B10" i="4"/>
  <c r="M7" i="4"/>
  <c r="L7" i="4"/>
  <c r="K7" i="4"/>
  <c r="J7" i="4"/>
  <c r="I7" i="4"/>
  <c r="H7" i="4"/>
  <c r="G7" i="4"/>
  <c r="F7" i="4"/>
  <c r="E7" i="4"/>
  <c r="D7" i="4"/>
  <c r="C7" i="4"/>
  <c r="B7" i="4"/>
  <c r="B11" i="11" s="1"/>
  <c r="M5" i="4"/>
  <c r="M6" i="19" s="1"/>
  <c r="J5" i="4"/>
  <c r="J6" i="19" s="1"/>
  <c r="G5" i="4"/>
  <c r="F5" i="4"/>
  <c r="E5" i="4"/>
  <c r="C5" i="4"/>
  <c r="C6" i="19" s="1"/>
  <c r="B5" i="4"/>
  <c r="J10" i="3"/>
  <c r="F10" i="3"/>
  <c r="B10" i="3"/>
  <c r="M7" i="3"/>
  <c r="L7" i="3"/>
  <c r="K7" i="3"/>
  <c r="J7" i="3"/>
  <c r="I7" i="3"/>
  <c r="H7" i="3"/>
  <c r="G7" i="3"/>
  <c r="F7" i="3"/>
  <c r="E7" i="3"/>
  <c r="E11" i="10" s="1"/>
  <c r="D7" i="3"/>
  <c r="C7" i="3"/>
  <c r="C10" i="10" s="1"/>
  <c r="B7" i="3"/>
  <c r="M5" i="3"/>
  <c r="M6" i="18" s="1"/>
  <c r="L5" i="3"/>
  <c r="J5" i="3"/>
  <c r="G5" i="3"/>
  <c r="F5" i="3"/>
  <c r="F6" i="18" s="1"/>
  <c r="D5" i="3"/>
  <c r="C5" i="3"/>
  <c r="B5" i="3"/>
  <c r="I5" i="4" l="1"/>
  <c r="I5" i="3"/>
  <c r="H5" i="3"/>
  <c r="H5" i="4"/>
  <c r="B31" i="9"/>
  <c r="L6" i="18"/>
  <c r="L7" i="10"/>
  <c r="B13" i="19"/>
  <c r="B15" i="11"/>
  <c r="D14" i="17"/>
  <c r="E14" i="17" s="1"/>
  <c r="F14" i="17" s="1"/>
  <c r="G14" i="17" s="1"/>
  <c r="H14" i="17" s="1"/>
  <c r="I14" i="17" s="1"/>
  <c r="J14" i="17" s="1"/>
  <c r="K14" i="17" s="1"/>
  <c r="L14" i="17" s="1"/>
  <c r="M14" i="17" s="1"/>
  <c r="J4" i="17"/>
  <c r="B35" i="9"/>
  <c r="E6" i="19"/>
  <c r="E7" i="11"/>
  <c r="C11" i="19"/>
  <c r="C9" i="19"/>
  <c r="C11" i="11"/>
  <c r="C10" i="11"/>
  <c r="K11" i="19"/>
  <c r="K9" i="19"/>
  <c r="K11" i="11"/>
  <c r="K10" i="11"/>
  <c r="C23" i="9"/>
  <c r="N4" i="9"/>
  <c r="L10" i="9" s="1"/>
  <c r="E24" i="9"/>
  <c r="D24" i="9"/>
  <c r="C24" i="9"/>
  <c r="E23" i="9"/>
  <c r="D23" i="9"/>
  <c r="B24" i="9"/>
  <c r="B23" i="9"/>
  <c r="K6" i="18"/>
  <c r="K7" i="10"/>
  <c r="B6" i="18"/>
  <c r="B7" i="10"/>
  <c r="C6" i="18"/>
  <c r="C7" i="10"/>
  <c r="B11" i="18"/>
  <c r="B9" i="18"/>
  <c r="B11" i="10"/>
  <c r="B10" i="10"/>
  <c r="J11" i="18"/>
  <c r="J9" i="18"/>
  <c r="J11" i="10"/>
  <c r="J10" i="10"/>
  <c r="F6" i="19"/>
  <c r="F7" i="11"/>
  <c r="I11" i="18"/>
  <c r="I9" i="18"/>
  <c r="I11" i="10"/>
  <c r="I10" i="10"/>
  <c r="M4" i="8"/>
  <c r="M4" i="4"/>
  <c r="M4" i="3"/>
  <c r="D9" i="18"/>
  <c r="D11" i="18"/>
  <c r="D11" i="10"/>
  <c r="D16" i="7"/>
  <c r="D18" i="7" s="1"/>
  <c r="D19" i="7" s="1"/>
  <c r="D6" i="18"/>
  <c r="D7" i="10"/>
  <c r="K11" i="18"/>
  <c r="K9" i="18"/>
  <c r="K11" i="10"/>
  <c r="K10" i="10"/>
  <c r="G6" i="19"/>
  <c r="G7" i="11"/>
  <c r="E11" i="19"/>
  <c r="E9" i="19"/>
  <c r="E11" i="11"/>
  <c r="J13" i="19"/>
  <c r="J15" i="11"/>
  <c r="L11" i="18"/>
  <c r="L9" i="18"/>
  <c r="L11" i="10"/>
  <c r="L10" i="10"/>
  <c r="F11" i="19"/>
  <c r="F9" i="19"/>
  <c r="F10" i="11"/>
  <c r="L6" i="19"/>
  <c r="L7" i="11"/>
  <c r="F11" i="11"/>
  <c r="G6" i="18"/>
  <c r="G7" i="10"/>
  <c r="G11" i="19"/>
  <c r="G9" i="19"/>
  <c r="G10" i="11"/>
  <c r="G11" i="11"/>
  <c r="C28" i="9"/>
  <c r="N5" i="9"/>
  <c r="L11" i="9" s="1"/>
  <c r="D29" i="9"/>
  <c r="P5" i="9" s="1"/>
  <c r="B28" i="9"/>
  <c r="E28" i="9"/>
  <c r="P12" i="7"/>
  <c r="B25" i="7"/>
  <c r="B28" i="7" s="1"/>
  <c r="B29" i="7" s="1"/>
  <c r="B30" i="7" s="1"/>
  <c r="B14" i="7"/>
  <c r="B15" i="7" s="1"/>
  <c r="B16" i="7" s="1"/>
  <c r="C11" i="18"/>
  <c r="C9" i="18"/>
  <c r="C11" i="10"/>
  <c r="M11" i="19"/>
  <c r="M9" i="19"/>
  <c r="M11" i="11"/>
  <c r="M10" i="11"/>
  <c r="F25" i="7"/>
  <c r="F28" i="7" s="1"/>
  <c r="F29" i="7" s="1"/>
  <c r="I25" i="7"/>
  <c r="I28" i="7" s="1"/>
  <c r="I29" i="7" s="1"/>
  <c r="I30" i="7" s="1"/>
  <c r="H25" i="7"/>
  <c r="H28" i="7" s="1"/>
  <c r="H29" i="7" s="1"/>
  <c r="H30" i="7" s="1"/>
  <c r="C14" i="7"/>
  <c r="C15" i="7" s="1"/>
  <c r="C16" i="7" s="1"/>
  <c r="C18" i="7" s="1"/>
  <c r="C19" i="7" s="1"/>
  <c r="K30" i="7"/>
  <c r="D6" i="19"/>
  <c r="D7" i="11"/>
  <c r="K23" i="9"/>
  <c r="M24" i="9"/>
  <c r="J23" i="9"/>
  <c r="L24" i="9"/>
  <c r="E10" i="11"/>
  <c r="L23" i="9"/>
  <c r="D12" i="17"/>
  <c r="E12" i="17" s="1"/>
  <c r="F12" i="17" s="1"/>
  <c r="G12" i="17" s="1"/>
  <c r="H12" i="17" s="1"/>
  <c r="I12" i="17" s="1"/>
  <c r="J12" i="17" s="1"/>
  <c r="K12" i="17" s="1"/>
  <c r="L12" i="17" s="1"/>
  <c r="M12" i="17" s="1"/>
  <c r="H11" i="19"/>
  <c r="H9" i="19"/>
  <c r="H11" i="11"/>
  <c r="H10" i="11"/>
  <c r="F30" i="7"/>
  <c r="C25" i="7"/>
  <c r="C28" i="7" s="1"/>
  <c r="C29" i="7" s="1"/>
  <c r="C30" i="7" s="1"/>
  <c r="L30" i="7"/>
  <c r="D10" i="10"/>
  <c r="E30" i="7"/>
  <c r="E5" i="3"/>
  <c r="F13" i="18"/>
  <c r="F15" i="10"/>
  <c r="K5" i="4"/>
  <c r="J6" i="18"/>
  <c r="J7" i="10"/>
  <c r="G11" i="18"/>
  <c r="G9" i="18"/>
  <c r="G10" i="10"/>
  <c r="G30" i="7"/>
  <c r="D25" i="7"/>
  <c r="D28" i="7" s="1"/>
  <c r="D29" i="7" s="1"/>
  <c r="D30" i="7" s="1"/>
  <c r="K28" i="9"/>
  <c r="M29" i="9"/>
  <c r="J29" i="9"/>
  <c r="L28" i="9"/>
  <c r="J28" i="9"/>
  <c r="K29" i="9"/>
  <c r="M28" i="9"/>
  <c r="L29" i="9"/>
  <c r="J6" i="17"/>
  <c r="H11" i="18"/>
  <c r="H9" i="18"/>
  <c r="J13" i="18"/>
  <c r="J15" i="10"/>
  <c r="D11" i="19"/>
  <c r="D9" i="19"/>
  <c r="D10" i="11"/>
  <c r="D11" i="11"/>
  <c r="L11" i="19"/>
  <c r="L9" i="19"/>
  <c r="L10" i="11"/>
  <c r="L11" i="11"/>
  <c r="F13" i="19"/>
  <c r="F15" i="11"/>
  <c r="K33" i="9"/>
  <c r="K34" i="9"/>
  <c r="J12" i="20"/>
  <c r="L12" i="20" s="1"/>
  <c r="C25" i="20"/>
  <c r="E25" i="20" s="1"/>
  <c r="E9" i="18"/>
  <c r="E11" i="18"/>
  <c r="E10" i="10"/>
  <c r="M11" i="18"/>
  <c r="M10" i="10"/>
  <c r="M9" i="18"/>
  <c r="I11" i="19"/>
  <c r="I9" i="19"/>
  <c r="M33" i="9"/>
  <c r="L34" i="9"/>
  <c r="I10" i="11"/>
  <c r="C29" i="20"/>
  <c r="E29" i="20" s="1"/>
  <c r="J18" i="20"/>
  <c r="L18" i="20" s="1"/>
  <c r="J17" i="20"/>
  <c r="L17" i="20" s="1"/>
  <c r="F11" i="18"/>
  <c r="F9" i="18"/>
  <c r="F10" i="10"/>
  <c r="B13" i="18"/>
  <c r="B15" i="10"/>
  <c r="B6" i="19"/>
  <c r="B7" i="11"/>
  <c r="B11" i="19"/>
  <c r="B9" i="19"/>
  <c r="J11" i="19"/>
  <c r="J9" i="19"/>
  <c r="J10" i="11"/>
  <c r="C33" i="9"/>
  <c r="O6" i="9" s="1"/>
  <c r="N6" i="9"/>
  <c r="L12" i="9" s="1"/>
  <c r="B34" i="9"/>
  <c r="E33" i="9"/>
  <c r="D33" i="9"/>
  <c r="C34" i="9"/>
  <c r="M34" i="9"/>
  <c r="E18" i="17"/>
  <c r="F18" i="17" s="1"/>
  <c r="G18" i="17" s="1"/>
  <c r="H18" i="17" s="1"/>
  <c r="I18" i="17" s="1"/>
  <c r="J18" i="17" s="1"/>
  <c r="K18" i="17" s="1"/>
  <c r="L18" i="17" s="1"/>
  <c r="M18" i="17" s="1"/>
  <c r="D24" i="17"/>
  <c r="E24" i="17" s="1"/>
  <c r="F24" i="17" s="1"/>
  <c r="G24" i="17" s="1"/>
  <c r="H24" i="17" s="1"/>
  <c r="I24" i="17" s="1"/>
  <c r="J24" i="17" s="1"/>
  <c r="K24" i="17" s="1"/>
  <c r="L24" i="17" s="1"/>
  <c r="M24" i="17" s="1"/>
  <c r="J25" i="7"/>
  <c r="J28" i="7" s="1"/>
  <c r="J29" i="7" s="1"/>
  <c r="J30" i="7" s="1"/>
  <c r="F33" i="9"/>
  <c r="D34" i="9"/>
  <c r="F7" i="10"/>
  <c r="J7" i="11"/>
  <c r="H20" i="17"/>
  <c r="I20" i="17" s="1"/>
  <c r="J20" i="17" s="1"/>
  <c r="K20" i="17" s="1"/>
  <c r="L20" i="17" s="1"/>
  <c r="M20" i="17" s="1"/>
  <c r="I23" i="9"/>
  <c r="F24" i="9"/>
  <c r="G28" i="9"/>
  <c r="J15" i="20"/>
  <c r="L15" i="20" s="1"/>
  <c r="J16" i="20"/>
  <c r="L16" i="20" s="1"/>
  <c r="C28" i="20"/>
  <c r="E28" i="20" s="1"/>
  <c r="J13" i="20"/>
  <c r="L13" i="20" s="1"/>
  <c r="C26" i="20"/>
  <c r="E26" i="20" s="1"/>
  <c r="J20" i="20"/>
  <c r="L20" i="20" s="1"/>
  <c r="C30" i="20"/>
  <c r="E30" i="20" s="1"/>
  <c r="J19" i="20"/>
  <c r="L19" i="20" s="1"/>
  <c r="C27" i="20"/>
  <c r="E27" i="20" s="1"/>
  <c r="J14" i="20"/>
  <c r="L14" i="20" s="1"/>
  <c r="I4" i="3" l="1"/>
  <c r="I4" i="4"/>
  <c r="I4" i="8"/>
  <c r="C4" i="8"/>
  <c r="C4" i="4"/>
  <c r="C4" i="3"/>
  <c r="D4" i="8"/>
  <c r="D4" i="3"/>
  <c r="D4" i="4"/>
  <c r="H4" i="8"/>
  <c r="H4" i="4"/>
  <c r="H4" i="3"/>
  <c r="C35" i="9"/>
  <c r="D35" i="9" s="1"/>
  <c r="E35" i="9" s="1"/>
  <c r="F35" i="9" s="1"/>
  <c r="G35" i="9" s="1"/>
  <c r="H35" i="9" s="1"/>
  <c r="I35" i="9" s="1"/>
  <c r="J35" i="9" s="1"/>
  <c r="K35" i="9" s="1"/>
  <c r="L35" i="9" s="1"/>
  <c r="M35" i="9" s="1"/>
  <c r="E14" i="9"/>
  <c r="J6" i="9" s="1"/>
  <c r="J12" i="9" s="1"/>
  <c r="C31" i="9"/>
  <c r="D31" i="9" s="1"/>
  <c r="E31" i="9" s="1"/>
  <c r="F31" i="9" s="1"/>
  <c r="G31" i="9" s="1"/>
  <c r="H31" i="9" s="1"/>
  <c r="I31" i="9" s="1"/>
  <c r="J31" i="9" s="1"/>
  <c r="K31" i="9" s="1"/>
  <c r="L31" i="9" s="1"/>
  <c r="M31" i="9" s="1"/>
  <c r="H6" i="19"/>
  <c r="H7" i="11"/>
  <c r="H6" i="18"/>
  <c r="H7" i="10"/>
  <c r="P6" i="9"/>
  <c r="B36" i="9"/>
  <c r="O5" i="9"/>
  <c r="B30" i="9"/>
  <c r="F29" i="20"/>
  <c r="H29" i="20" s="1"/>
  <c r="F30" i="20"/>
  <c r="H30" i="20" s="1"/>
  <c r="G4" i="8"/>
  <c r="G4" i="3"/>
  <c r="G4" i="4"/>
  <c r="H26" i="20"/>
  <c r="F26" i="20"/>
  <c r="E6" i="18"/>
  <c r="E7" i="10"/>
  <c r="B18" i="7"/>
  <c r="B19" i="7" s="1"/>
  <c r="P14" i="7"/>
  <c r="P16" i="7" s="1"/>
  <c r="F4" i="8"/>
  <c r="F4" i="4"/>
  <c r="P6" i="7"/>
  <c r="Q6" i="7" s="1"/>
  <c r="F4" i="3"/>
  <c r="E4" i="8"/>
  <c r="E4" i="4"/>
  <c r="E4" i="3"/>
  <c r="B4" i="3"/>
  <c r="P5" i="7"/>
  <c r="Q5" i="7" s="1"/>
  <c r="B4" i="4"/>
  <c r="B4" i="8"/>
  <c r="B25" i="9"/>
  <c r="O4" i="9"/>
  <c r="I6" i="18"/>
  <c r="I7" i="10"/>
  <c r="F27" i="20"/>
  <c r="H27" i="20"/>
  <c r="H25" i="20"/>
  <c r="F25" i="20"/>
  <c r="M4" i="18"/>
  <c r="M5" i="10"/>
  <c r="M6" i="3"/>
  <c r="B26" i="9"/>
  <c r="P4" i="9"/>
  <c r="K4" i="3"/>
  <c r="K4" i="8"/>
  <c r="K4" i="4"/>
  <c r="P7" i="7"/>
  <c r="Q7" i="7" s="1"/>
  <c r="J4" i="3"/>
  <c r="J4" i="8"/>
  <c r="J4" i="4"/>
  <c r="K6" i="19"/>
  <c r="K7" i="11"/>
  <c r="I6" i="17"/>
  <c r="F28" i="20"/>
  <c r="H28" i="20" s="1"/>
  <c r="L4" i="3"/>
  <c r="L4" i="8"/>
  <c r="L4" i="4"/>
  <c r="I4" i="17"/>
  <c r="M4" i="19"/>
  <c r="M5" i="11"/>
  <c r="M6" i="4"/>
  <c r="I6" i="19"/>
  <c r="I7" i="11"/>
  <c r="K4" i="18" l="1"/>
  <c r="K5" i="10"/>
  <c r="K6" i="3"/>
  <c r="M5" i="9"/>
  <c r="Q5" i="9" s="1"/>
  <c r="D4" i="18"/>
  <c r="D5" i="10"/>
  <c r="D6" i="3"/>
  <c r="C30" i="9"/>
  <c r="D30" i="9" s="1"/>
  <c r="E30" i="9" s="1"/>
  <c r="F30" i="9" s="1"/>
  <c r="G30" i="9" s="1"/>
  <c r="H30" i="9" s="1"/>
  <c r="I30" i="9" s="1"/>
  <c r="J30" i="9" s="1"/>
  <c r="K30" i="9" s="1"/>
  <c r="L30" i="9" s="1"/>
  <c r="M30" i="9" s="1"/>
  <c r="E13" i="9"/>
  <c r="J5" i="9" s="1"/>
  <c r="J11" i="9" s="1"/>
  <c r="B4" i="19"/>
  <c r="B5" i="11"/>
  <c r="B6" i="4"/>
  <c r="F4" i="19"/>
  <c r="F5" i="11"/>
  <c r="F6" i="4"/>
  <c r="G4" i="19"/>
  <c r="G5" i="11"/>
  <c r="G6" i="4"/>
  <c r="F13" i="9"/>
  <c r="G5" i="8"/>
  <c r="L4" i="19"/>
  <c r="L5" i="11"/>
  <c r="L6" i="4"/>
  <c r="J4" i="19"/>
  <c r="J5" i="11"/>
  <c r="J6" i="4"/>
  <c r="C26" i="9"/>
  <c r="D26" i="9" s="1"/>
  <c r="E26" i="9" s="1"/>
  <c r="F26" i="9" s="1"/>
  <c r="G26" i="9" s="1"/>
  <c r="H26" i="9" s="1"/>
  <c r="I26" i="9" s="1"/>
  <c r="J26" i="9" s="1"/>
  <c r="K26" i="9" s="1"/>
  <c r="L26" i="9" s="1"/>
  <c r="M26" i="9" s="1"/>
  <c r="F12" i="9"/>
  <c r="M8" i="10"/>
  <c r="M7" i="18"/>
  <c r="B4" i="18"/>
  <c r="B5" i="10"/>
  <c r="B6" i="3"/>
  <c r="J5" i="8"/>
  <c r="B14" i="8"/>
  <c r="I5" i="8"/>
  <c r="G4" i="18"/>
  <c r="G6" i="3"/>
  <c r="G5" i="10"/>
  <c r="C4" i="18"/>
  <c r="C5" i="10"/>
  <c r="C6" i="3"/>
  <c r="B15" i="8"/>
  <c r="M5" i="8"/>
  <c r="E4" i="18"/>
  <c r="E5" i="10"/>
  <c r="E6" i="3"/>
  <c r="E4" i="19"/>
  <c r="E6" i="4"/>
  <c r="E5" i="11"/>
  <c r="H4" i="19"/>
  <c r="H5" i="11"/>
  <c r="H6" i="4"/>
  <c r="L5" i="8"/>
  <c r="C36" i="9"/>
  <c r="D36" i="9" s="1"/>
  <c r="E36" i="9" s="1"/>
  <c r="F36" i="9" s="1"/>
  <c r="G36" i="9" s="1"/>
  <c r="H36" i="9" s="1"/>
  <c r="I36" i="9" s="1"/>
  <c r="J36" i="9" s="1"/>
  <c r="K36" i="9" s="1"/>
  <c r="L36" i="9" s="1"/>
  <c r="M36" i="9" s="1"/>
  <c r="K6" i="9"/>
  <c r="C4" i="19"/>
  <c r="C5" i="11"/>
  <c r="C6" i="4"/>
  <c r="L4" i="18"/>
  <c r="L6" i="3"/>
  <c r="L5" i="10"/>
  <c r="J4" i="18"/>
  <c r="J5" i="10"/>
  <c r="J6" i="3"/>
  <c r="H4" i="18"/>
  <c r="H5" i="10"/>
  <c r="H6" i="3"/>
  <c r="M7" i="19"/>
  <c r="M8" i="11"/>
  <c r="K4" i="19"/>
  <c r="K5" i="11"/>
  <c r="K6" i="4"/>
  <c r="H5" i="8"/>
  <c r="K5" i="8"/>
  <c r="I4" i="19"/>
  <c r="I5" i="11"/>
  <c r="I6" i="4"/>
  <c r="C5" i="8"/>
  <c r="E5" i="8"/>
  <c r="D5" i="8"/>
  <c r="B5" i="8"/>
  <c r="B13" i="8"/>
  <c r="F5" i="8"/>
  <c r="C25" i="9"/>
  <c r="D25" i="9" s="1"/>
  <c r="E25" i="9" s="1"/>
  <c r="F25" i="9" s="1"/>
  <c r="G25" i="9" s="1"/>
  <c r="H25" i="9" s="1"/>
  <c r="I25" i="9" s="1"/>
  <c r="J25" i="9" s="1"/>
  <c r="K25" i="9" s="1"/>
  <c r="L25" i="9" s="1"/>
  <c r="M25" i="9" s="1"/>
  <c r="F4" i="18"/>
  <c r="F5" i="10"/>
  <c r="F6" i="3"/>
  <c r="D4" i="19"/>
  <c r="D5" i="11"/>
  <c r="D6" i="4"/>
  <c r="I5" i="10"/>
  <c r="I4" i="18"/>
  <c r="I6" i="3"/>
  <c r="H6" i="8" l="1"/>
  <c r="H8" i="8" s="1"/>
  <c r="H9" i="8" s="1"/>
  <c r="H7" i="8"/>
  <c r="I7" i="8"/>
  <c r="I6" i="8"/>
  <c r="I8" i="8" s="1"/>
  <c r="I9" i="8" s="1"/>
  <c r="B7" i="19"/>
  <c r="B8" i="11"/>
  <c r="C7" i="8"/>
  <c r="C6" i="8"/>
  <c r="C8" i="8"/>
  <c r="C9" i="8" s="1"/>
  <c r="G12" i="9"/>
  <c r="L4" i="9"/>
  <c r="K10" i="9" s="1"/>
  <c r="F6" i="8"/>
  <c r="F7" i="8"/>
  <c r="F8" i="8"/>
  <c r="F9" i="8" s="1"/>
  <c r="H7" i="18"/>
  <c r="H8" i="10"/>
  <c r="E8" i="10"/>
  <c r="E7" i="18"/>
  <c r="L7" i="19"/>
  <c r="L8" i="11"/>
  <c r="G7" i="19"/>
  <c r="G8" i="11"/>
  <c r="I7" i="18"/>
  <c r="I8" i="10"/>
  <c r="K7" i="18"/>
  <c r="K8" i="10"/>
  <c r="L7" i="18"/>
  <c r="L8" i="10"/>
  <c r="J8" i="8"/>
  <c r="J9" i="8" s="1"/>
  <c r="J7" i="8"/>
  <c r="J6" i="8"/>
  <c r="M4" i="9"/>
  <c r="Q4" i="9" s="1"/>
  <c r="D7" i="19"/>
  <c r="D8" i="11"/>
  <c r="E12" i="9"/>
  <c r="J4" i="9" s="1"/>
  <c r="J10" i="9" s="1"/>
  <c r="B6" i="8"/>
  <c r="B8" i="8" s="1"/>
  <c r="B9" i="8" s="1"/>
  <c r="B7" i="8"/>
  <c r="F14" i="9"/>
  <c r="G6" i="8"/>
  <c r="G8" i="8" s="1"/>
  <c r="G9" i="8" s="1"/>
  <c r="G7" i="8"/>
  <c r="F7" i="19"/>
  <c r="F8" i="11"/>
  <c r="K5" i="9"/>
  <c r="C7" i="19"/>
  <c r="C8" i="11"/>
  <c r="L7" i="8"/>
  <c r="L6" i="8"/>
  <c r="L8" i="8"/>
  <c r="L9" i="8" s="1"/>
  <c r="E7" i="19"/>
  <c r="E8" i="11"/>
  <c r="M6" i="8"/>
  <c r="M8" i="8" s="1"/>
  <c r="M9" i="8" s="1"/>
  <c r="M7" i="8"/>
  <c r="G7" i="18"/>
  <c r="G8" i="10"/>
  <c r="B7" i="18"/>
  <c r="B8" i="10"/>
  <c r="J7" i="19"/>
  <c r="J8" i="11"/>
  <c r="F7" i="18"/>
  <c r="F8" i="10"/>
  <c r="I7" i="19"/>
  <c r="I8" i="11"/>
  <c r="H7" i="19"/>
  <c r="H8" i="11"/>
  <c r="C7" i="18"/>
  <c r="C8" i="10"/>
  <c r="K7" i="19"/>
  <c r="K8" i="11"/>
  <c r="K4" i="9"/>
  <c r="D6" i="8"/>
  <c r="D7" i="8"/>
  <c r="D8" i="8"/>
  <c r="D9" i="8" s="1"/>
  <c r="K7" i="8"/>
  <c r="K6" i="8"/>
  <c r="K8" i="8" s="1"/>
  <c r="K9" i="8" s="1"/>
  <c r="E7" i="8"/>
  <c r="E6" i="8"/>
  <c r="E8" i="8" s="1"/>
  <c r="E9" i="8" s="1"/>
  <c r="J7" i="18"/>
  <c r="J8" i="10"/>
  <c r="G13" i="9"/>
  <c r="L5" i="9"/>
  <c r="K11" i="9" s="1"/>
  <c r="D7" i="18"/>
  <c r="D8" i="10"/>
  <c r="G8" i="4" l="1"/>
  <c r="G8" i="3"/>
  <c r="B8" i="3"/>
  <c r="C13" i="8"/>
  <c r="B8" i="4"/>
  <c r="I8" i="3"/>
  <c r="I8" i="4"/>
  <c r="K8" i="3"/>
  <c r="K8" i="4"/>
  <c r="E8" i="4"/>
  <c r="E8" i="3"/>
  <c r="M8" i="4"/>
  <c r="M8" i="3"/>
  <c r="H8" i="4"/>
  <c r="H8" i="3"/>
  <c r="L6" i="9"/>
  <c r="K12" i="9" s="1"/>
  <c r="G14" i="9"/>
  <c r="M6" i="9"/>
  <c r="Q6" i="9" s="1"/>
  <c r="J8" i="3"/>
  <c r="C15" i="8"/>
  <c r="J8" i="4"/>
  <c r="L8" i="3"/>
  <c r="L8" i="4"/>
  <c r="C14" i="8"/>
  <c r="F8" i="4"/>
  <c r="F8" i="3"/>
  <c r="C8" i="3"/>
  <c r="C8" i="4"/>
  <c r="D8" i="3"/>
  <c r="D8" i="4"/>
  <c r="D14" i="8" l="1"/>
  <c r="C18" i="5"/>
  <c r="B18" i="5"/>
  <c r="H5" i="18"/>
  <c r="H8" i="18" s="1"/>
  <c r="H10" i="18" s="1"/>
  <c r="H12" i="18" s="1"/>
  <c r="H14" i="18" s="1"/>
  <c r="H16" i="18" s="1"/>
  <c r="H6" i="10"/>
  <c r="H9" i="10" s="1"/>
  <c r="H12" i="10" s="1"/>
  <c r="H16" i="10" s="1"/>
  <c r="H9" i="3"/>
  <c r="H11" i="3" s="1"/>
  <c r="H13" i="3" s="1"/>
  <c r="I5" i="19"/>
  <c r="I8" i="19" s="1"/>
  <c r="I10" i="19" s="1"/>
  <c r="I12" i="19" s="1"/>
  <c r="I14" i="19" s="1"/>
  <c r="I16" i="19" s="1"/>
  <c r="I6" i="11"/>
  <c r="I9" i="11" s="1"/>
  <c r="I12" i="11" s="1"/>
  <c r="I16" i="11" s="1"/>
  <c r="I9" i="4"/>
  <c r="I11" i="4" s="1"/>
  <c r="I13" i="4" s="1"/>
  <c r="J5" i="19"/>
  <c r="J8" i="19" s="1"/>
  <c r="J10" i="19" s="1"/>
  <c r="J12" i="19" s="1"/>
  <c r="J14" i="19" s="1"/>
  <c r="J16" i="19" s="1"/>
  <c r="J6" i="11"/>
  <c r="J9" i="11" s="1"/>
  <c r="J12" i="11" s="1"/>
  <c r="J16" i="11" s="1"/>
  <c r="J9" i="4"/>
  <c r="J11" i="4" s="1"/>
  <c r="J13" i="4" s="1"/>
  <c r="B19" i="5"/>
  <c r="D15" i="8"/>
  <c r="C19" i="5"/>
  <c r="E6" i="10"/>
  <c r="E9" i="10" s="1"/>
  <c r="E12" i="10" s="1"/>
  <c r="E16" i="10" s="1"/>
  <c r="E5" i="18"/>
  <c r="E8" i="18" s="1"/>
  <c r="E10" i="18" s="1"/>
  <c r="E12" i="18" s="1"/>
  <c r="E14" i="18" s="1"/>
  <c r="E16" i="18" s="1"/>
  <c r="E9" i="3"/>
  <c r="E11" i="3" s="1"/>
  <c r="E13" i="3" s="1"/>
  <c r="L5" i="19"/>
  <c r="L8" i="19" s="1"/>
  <c r="L10" i="19" s="1"/>
  <c r="L12" i="19" s="1"/>
  <c r="L14" i="19" s="1"/>
  <c r="L16" i="19" s="1"/>
  <c r="L6" i="11"/>
  <c r="L9" i="11" s="1"/>
  <c r="L12" i="11" s="1"/>
  <c r="L16" i="11" s="1"/>
  <c r="L9" i="4"/>
  <c r="L11" i="4" s="1"/>
  <c r="L13" i="4" s="1"/>
  <c r="H5" i="19"/>
  <c r="H8" i="19" s="1"/>
  <c r="H10" i="19" s="1"/>
  <c r="H12" i="19" s="1"/>
  <c r="H14" i="19" s="1"/>
  <c r="H16" i="19" s="1"/>
  <c r="H6" i="11"/>
  <c r="H9" i="11" s="1"/>
  <c r="H12" i="11" s="1"/>
  <c r="H16" i="11" s="1"/>
  <c r="H9" i="4"/>
  <c r="H11" i="4" s="1"/>
  <c r="H13" i="4" s="1"/>
  <c r="D5" i="18"/>
  <c r="D8" i="18" s="1"/>
  <c r="D10" i="18" s="1"/>
  <c r="D12" i="18" s="1"/>
  <c r="D14" i="18" s="1"/>
  <c r="D16" i="18" s="1"/>
  <c r="D6" i="10"/>
  <c r="D9" i="10" s="1"/>
  <c r="D12" i="10" s="1"/>
  <c r="D16" i="10" s="1"/>
  <c r="D9" i="3"/>
  <c r="D11" i="3" s="1"/>
  <c r="D13" i="3" s="1"/>
  <c r="C5" i="19"/>
  <c r="C8" i="19" s="1"/>
  <c r="C10" i="19" s="1"/>
  <c r="C12" i="19" s="1"/>
  <c r="C14" i="19" s="1"/>
  <c r="C16" i="19" s="1"/>
  <c r="C6" i="11"/>
  <c r="C9" i="11" s="1"/>
  <c r="C12" i="11" s="1"/>
  <c r="C16" i="11" s="1"/>
  <c r="C9" i="4"/>
  <c r="C11" i="4" s="1"/>
  <c r="C13" i="4" s="1"/>
  <c r="C17" i="5"/>
  <c r="D13" i="8"/>
  <c r="B17" i="5"/>
  <c r="J5" i="18"/>
  <c r="J8" i="18" s="1"/>
  <c r="J10" i="18" s="1"/>
  <c r="J12" i="18" s="1"/>
  <c r="J14" i="18" s="1"/>
  <c r="J16" i="18" s="1"/>
  <c r="J6" i="10"/>
  <c r="J9" i="10" s="1"/>
  <c r="J12" i="10" s="1"/>
  <c r="J16" i="10" s="1"/>
  <c r="J9" i="3"/>
  <c r="J11" i="3" s="1"/>
  <c r="J13" i="3" s="1"/>
  <c r="B5" i="18"/>
  <c r="B8" i="18" s="1"/>
  <c r="B10" i="18" s="1"/>
  <c r="B12" i="18" s="1"/>
  <c r="B14" i="18" s="1"/>
  <c r="B6" i="10"/>
  <c r="B9" i="10" s="1"/>
  <c r="B12" i="10" s="1"/>
  <c r="B16" i="10" s="1"/>
  <c r="B9" i="3"/>
  <c r="B11" i="3" s="1"/>
  <c r="F5" i="18"/>
  <c r="F8" i="18" s="1"/>
  <c r="F10" i="18" s="1"/>
  <c r="F12" i="18" s="1"/>
  <c r="F14" i="18" s="1"/>
  <c r="F16" i="18" s="1"/>
  <c r="F6" i="10"/>
  <c r="F9" i="10" s="1"/>
  <c r="F12" i="10" s="1"/>
  <c r="F16" i="10" s="1"/>
  <c r="F9" i="3"/>
  <c r="F11" i="3" s="1"/>
  <c r="F13" i="3" s="1"/>
  <c r="G5" i="18"/>
  <c r="G8" i="18" s="1"/>
  <c r="G10" i="18" s="1"/>
  <c r="G12" i="18" s="1"/>
  <c r="G14" i="18" s="1"/>
  <c r="G16" i="18" s="1"/>
  <c r="G6" i="10"/>
  <c r="G9" i="10" s="1"/>
  <c r="G12" i="10" s="1"/>
  <c r="G16" i="10" s="1"/>
  <c r="G9" i="3"/>
  <c r="G11" i="3" s="1"/>
  <c r="G13" i="3" s="1"/>
  <c r="K5" i="18"/>
  <c r="K8" i="18" s="1"/>
  <c r="K10" i="18" s="1"/>
  <c r="K12" i="18" s="1"/>
  <c r="K14" i="18" s="1"/>
  <c r="K16" i="18" s="1"/>
  <c r="K6" i="10"/>
  <c r="K9" i="10" s="1"/>
  <c r="K12" i="10" s="1"/>
  <c r="K16" i="10" s="1"/>
  <c r="K9" i="3"/>
  <c r="K11" i="3" s="1"/>
  <c r="K13" i="3" s="1"/>
  <c r="D5" i="19"/>
  <c r="D8" i="19" s="1"/>
  <c r="D10" i="19" s="1"/>
  <c r="D12" i="19" s="1"/>
  <c r="D14" i="19" s="1"/>
  <c r="D16" i="19" s="1"/>
  <c r="D6" i="11"/>
  <c r="D9" i="11" s="1"/>
  <c r="D12" i="11" s="1"/>
  <c r="D16" i="11" s="1"/>
  <c r="D9" i="4"/>
  <c r="D11" i="4" s="1"/>
  <c r="D13" i="4" s="1"/>
  <c r="L5" i="18"/>
  <c r="L8" i="18" s="1"/>
  <c r="L10" i="18" s="1"/>
  <c r="L12" i="18" s="1"/>
  <c r="L14" i="18" s="1"/>
  <c r="L16" i="18" s="1"/>
  <c r="L6" i="10"/>
  <c r="L9" i="10" s="1"/>
  <c r="L12" i="10" s="1"/>
  <c r="L16" i="10" s="1"/>
  <c r="L9" i="3"/>
  <c r="L11" i="3" s="1"/>
  <c r="L13" i="3" s="1"/>
  <c r="I5" i="18"/>
  <c r="I8" i="18" s="1"/>
  <c r="I10" i="18" s="1"/>
  <c r="I12" i="18" s="1"/>
  <c r="I14" i="18" s="1"/>
  <c r="I16" i="18" s="1"/>
  <c r="I6" i="10"/>
  <c r="I9" i="10" s="1"/>
  <c r="I12" i="10" s="1"/>
  <c r="I16" i="10" s="1"/>
  <c r="I9" i="3"/>
  <c r="I11" i="3" s="1"/>
  <c r="I13" i="3" s="1"/>
  <c r="M5" i="18"/>
  <c r="M8" i="18" s="1"/>
  <c r="M10" i="18" s="1"/>
  <c r="M12" i="18" s="1"/>
  <c r="M14" i="18" s="1"/>
  <c r="M16" i="18" s="1"/>
  <c r="M6" i="10"/>
  <c r="M9" i="10" s="1"/>
  <c r="M12" i="10" s="1"/>
  <c r="M16" i="10" s="1"/>
  <c r="M9" i="3"/>
  <c r="M11" i="3" s="1"/>
  <c r="M13" i="3" s="1"/>
  <c r="B5" i="19"/>
  <c r="B8" i="19" s="1"/>
  <c r="B10" i="19" s="1"/>
  <c r="B12" i="19" s="1"/>
  <c r="B14" i="19" s="1"/>
  <c r="B6" i="11"/>
  <c r="B9" i="11" s="1"/>
  <c r="B12" i="11" s="1"/>
  <c r="B16" i="11" s="1"/>
  <c r="B9" i="4"/>
  <c r="B11" i="4" s="1"/>
  <c r="M5" i="19"/>
  <c r="M8" i="19" s="1"/>
  <c r="M10" i="19" s="1"/>
  <c r="M12" i="19" s="1"/>
  <c r="M14" i="19" s="1"/>
  <c r="M16" i="19" s="1"/>
  <c r="M6" i="11"/>
  <c r="M9" i="11" s="1"/>
  <c r="M12" i="11" s="1"/>
  <c r="M16" i="11" s="1"/>
  <c r="M9" i="4"/>
  <c r="M11" i="4" s="1"/>
  <c r="M13" i="4" s="1"/>
  <c r="C5" i="18"/>
  <c r="C8" i="18" s="1"/>
  <c r="C10" i="18" s="1"/>
  <c r="C12" i="18" s="1"/>
  <c r="C14" i="18" s="1"/>
  <c r="C16" i="18" s="1"/>
  <c r="C6" i="10"/>
  <c r="C9" i="10" s="1"/>
  <c r="C12" i="10" s="1"/>
  <c r="C16" i="10" s="1"/>
  <c r="C9" i="3"/>
  <c r="C11" i="3" s="1"/>
  <c r="C13" i="3" s="1"/>
  <c r="E5" i="19"/>
  <c r="E8" i="19" s="1"/>
  <c r="E10" i="19" s="1"/>
  <c r="E12" i="19" s="1"/>
  <c r="E14" i="19" s="1"/>
  <c r="E16" i="19" s="1"/>
  <c r="E6" i="11"/>
  <c r="E9" i="11" s="1"/>
  <c r="E12" i="11" s="1"/>
  <c r="E16" i="11" s="1"/>
  <c r="E9" i="4"/>
  <c r="E11" i="4" s="1"/>
  <c r="E13" i="4" s="1"/>
  <c r="F5" i="19"/>
  <c r="F8" i="19" s="1"/>
  <c r="F10" i="19" s="1"/>
  <c r="F12" i="19" s="1"/>
  <c r="F14" i="19" s="1"/>
  <c r="F16" i="19" s="1"/>
  <c r="F6" i="11"/>
  <c r="F9" i="11" s="1"/>
  <c r="F12" i="11" s="1"/>
  <c r="F16" i="11" s="1"/>
  <c r="F9" i="4"/>
  <c r="F11" i="4" s="1"/>
  <c r="F13" i="4" s="1"/>
  <c r="K5" i="19"/>
  <c r="K8" i="19" s="1"/>
  <c r="K10" i="19" s="1"/>
  <c r="K12" i="19" s="1"/>
  <c r="K14" i="19" s="1"/>
  <c r="K16" i="19" s="1"/>
  <c r="K6" i="11"/>
  <c r="K9" i="11" s="1"/>
  <c r="K12" i="11" s="1"/>
  <c r="K16" i="11" s="1"/>
  <c r="K9" i="4"/>
  <c r="K11" i="4" s="1"/>
  <c r="K13" i="4" s="1"/>
  <c r="G5" i="19"/>
  <c r="G8" i="19" s="1"/>
  <c r="G10" i="19" s="1"/>
  <c r="G12" i="19" s="1"/>
  <c r="G14" i="19" s="1"/>
  <c r="G16" i="19" s="1"/>
  <c r="G6" i="11"/>
  <c r="G9" i="11" s="1"/>
  <c r="G12" i="11" s="1"/>
  <c r="G16" i="11" s="1"/>
  <c r="G9" i="4"/>
  <c r="G11" i="4" s="1"/>
  <c r="G13" i="4" s="1"/>
  <c r="E20" i="11" l="1"/>
  <c r="E11" i="14"/>
  <c r="R11" i="14" s="1"/>
  <c r="C6" i="5"/>
  <c r="B17" i="4"/>
  <c r="M20" i="11"/>
  <c r="M11" i="14"/>
  <c r="Z11" i="14" s="1"/>
  <c r="F10" i="14"/>
  <c r="S10" i="14" s="1"/>
  <c r="F20" i="10"/>
  <c r="G20" i="11"/>
  <c r="G11" i="14"/>
  <c r="T11" i="14" s="1"/>
  <c r="I10" i="14"/>
  <c r="V10" i="14" s="1"/>
  <c r="I20" i="10"/>
  <c r="E20" i="10"/>
  <c r="E10" i="14"/>
  <c r="R10" i="14" s="1"/>
  <c r="I11" i="14"/>
  <c r="V11" i="14" s="1"/>
  <c r="I20" i="11"/>
  <c r="K10" i="14"/>
  <c r="X10" i="14" s="1"/>
  <c r="K20" i="10"/>
  <c r="C20" i="5"/>
  <c r="B20" i="5"/>
  <c r="H20" i="10"/>
  <c r="H10" i="14"/>
  <c r="U10" i="14" s="1"/>
  <c r="B17" i="3"/>
  <c r="B6" i="5"/>
  <c r="B11" i="14"/>
  <c r="O11" i="14" s="1"/>
  <c r="L10" i="14"/>
  <c r="Y10" i="14" s="1"/>
  <c r="L20" i="10"/>
  <c r="C10" i="14"/>
  <c r="P10" i="14" s="1"/>
  <c r="C20" i="10"/>
  <c r="L20" i="11"/>
  <c r="L11" i="14"/>
  <c r="Y11" i="14" s="1"/>
  <c r="M10" i="14"/>
  <c r="Z10" i="14" s="1"/>
  <c r="M20" i="10"/>
  <c r="J20" i="10"/>
  <c r="J10" i="14"/>
  <c r="W10" i="14" s="1"/>
  <c r="J11" i="14"/>
  <c r="W11" i="14" s="1"/>
  <c r="J20" i="11"/>
  <c r="H20" i="11"/>
  <c r="H11" i="14"/>
  <c r="U11" i="14" s="1"/>
  <c r="B10" i="14"/>
  <c r="O10" i="14" s="1"/>
  <c r="K11" i="14"/>
  <c r="X11" i="14" s="1"/>
  <c r="K20" i="11"/>
  <c r="C11" i="14"/>
  <c r="P11" i="14" s="1"/>
  <c r="C20" i="11"/>
  <c r="G10" i="14"/>
  <c r="T10" i="14" s="1"/>
  <c r="G20" i="10"/>
  <c r="F20" i="11"/>
  <c r="F11" i="14"/>
  <c r="S11" i="14" s="1"/>
  <c r="D20" i="11"/>
  <c r="D11" i="14"/>
  <c r="Q11" i="14" s="1"/>
  <c r="D10" i="14"/>
  <c r="Q10" i="14" s="1"/>
  <c r="D20" i="10"/>
  <c r="C17" i="3" l="1"/>
  <c r="D17" i="3" s="1"/>
  <c r="E17" i="3" s="1"/>
  <c r="F17" i="3" s="1"/>
  <c r="G17" i="3" s="1"/>
  <c r="H17" i="3" s="1"/>
  <c r="I17" i="3" s="1"/>
  <c r="J17" i="3" s="1"/>
  <c r="K17" i="3" s="1"/>
  <c r="L17" i="3" s="1"/>
  <c r="M17" i="3" s="1"/>
  <c r="B12" i="4"/>
  <c r="C17" i="4"/>
  <c r="D17" i="4" s="1"/>
  <c r="E17" i="4" s="1"/>
  <c r="F17" i="4" s="1"/>
  <c r="G17" i="4" s="1"/>
  <c r="H17" i="4" s="1"/>
  <c r="I17" i="4" s="1"/>
  <c r="J17" i="4" s="1"/>
  <c r="K17" i="4" s="1"/>
  <c r="L17" i="4" s="1"/>
  <c r="M17" i="4" s="1"/>
  <c r="B15" i="19" l="1"/>
  <c r="B19" i="11"/>
  <c r="C4" i="5"/>
  <c r="F4" i="5"/>
  <c r="F5" i="5"/>
  <c r="F6" i="5"/>
  <c r="B13" i="4"/>
  <c r="B14" i="4" s="1"/>
  <c r="B12" i="3"/>
  <c r="B15" i="18" l="1"/>
  <c r="B4" i="5"/>
  <c r="B19" i="10"/>
  <c r="B13" i="3"/>
  <c r="B14" i="3" s="1"/>
  <c r="G4" i="5"/>
  <c r="H4" i="5" s="1"/>
  <c r="C14" i="4"/>
  <c r="B14" i="5"/>
  <c r="G6" i="5"/>
  <c r="H6" i="5"/>
  <c r="G5" i="5"/>
  <c r="H5" i="5" s="1"/>
  <c r="C15" i="14"/>
  <c r="B20" i="11"/>
  <c r="B21" i="11" s="1"/>
  <c r="C21" i="11" s="1"/>
  <c r="D21" i="11" s="1"/>
  <c r="E21" i="11" s="1"/>
  <c r="F21" i="11" s="1"/>
  <c r="G21" i="11" s="1"/>
  <c r="H21" i="11" s="1"/>
  <c r="I21" i="11" s="1"/>
  <c r="J21" i="11" s="1"/>
  <c r="K21" i="11" s="1"/>
  <c r="L21" i="11" s="1"/>
  <c r="M21" i="11" s="1"/>
  <c r="J5" i="17"/>
  <c r="B16" i="19"/>
  <c r="B17" i="19" s="1"/>
  <c r="C17" i="19" s="1"/>
  <c r="D17" i="19" s="1"/>
  <c r="E17" i="19" s="1"/>
  <c r="F17" i="19" s="1"/>
  <c r="G17" i="19" s="1"/>
  <c r="H17" i="19" s="1"/>
  <c r="I17" i="19" s="1"/>
  <c r="J17" i="19" s="1"/>
  <c r="K17" i="19" s="1"/>
  <c r="L17" i="19" s="1"/>
  <c r="M17" i="19" s="1"/>
  <c r="C14" i="5" l="1"/>
  <c r="D14" i="4"/>
  <c r="C16" i="14"/>
  <c r="B23" i="14"/>
  <c r="N11" i="14"/>
  <c r="C17" i="14" s="1"/>
  <c r="C18" i="14" s="1"/>
  <c r="B13" i="5"/>
  <c r="C14" i="3"/>
  <c r="B15" i="14"/>
  <c r="B20" i="10"/>
  <c r="B21" i="10" s="1"/>
  <c r="C21" i="10" s="1"/>
  <c r="D21" i="10" s="1"/>
  <c r="E21" i="10" s="1"/>
  <c r="F21" i="10" s="1"/>
  <c r="G21" i="10" s="1"/>
  <c r="H21" i="10" s="1"/>
  <c r="I21" i="10" s="1"/>
  <c r="J21" i="10" s="1"/>
  <c r="K21" i="10" s="1"/>
  <c r="L21" i="10" s="1"/>
  <c r="M21" i="10" s="1"/>
  <c r="I5" i="17"/>
  <c r="B16" i="18"/>
  <c r="B17" i="18" s="1"/>
  <c r="C17" i="18" s="1"/>
  <c r="D17" i="18" s="1"/>
  <c r="E17" i="18" s="1"/>
  <c r="F17" i="18" s="1"/>
  <c r="G17" i="18" s="1"/>
  <c r="H17" i="18" s="1"/>
  <c r="I17" i="18" s="1"/>
  <c r="J17" i="18" s="1"/>
  <c r="K17" i="18" s="1"/>
  <c r="L17" i="18" s="1"/>
  <c r="M17" i="18" s="1"/>
  <c r="B16" i="14" l="1"/>
  <c r="B22" i="14"/>
  <c r="N10" i="14"/>
  <c r="B17" i="14" s="1"/>
  <c r="B18" i="14" s="1"/>
  <c r="C13" i="5"/>
  <c r="D14" i="3"/>
  <c r="D14" i="5"/>
  <c r="E14" i="4"/>
  <c r="C23" i="14"/>
  <c r="E14" i="5" l="1"/>
  <c r="F14" i="4"/>
  <c r="E14" i="3"/>
  <c r="D13" i="5"/>
  <c r="C22" i="14"/>
  <c r="D22" i="14" s="1"/>
  <c r="E22" i="14" s="1"/>
  <c r="F22" i="14" s="1"/>
  <c r="G22" i="14" s="1"/>
  <c r="H22" i="14" s="1"/>
  <c r="I22" i="14" s="1"/>
  <c r="J22" i="14" s="1"/>
  <c r="K22" i="14" s="1"/>
  <c r="L22" i="14" s="1"/>
  <c r="M22" i="14" s="1"/>
  <c r="B19" i="14"/>
  <c r="D23" i="14"/>
  <c r="C19" i="14"/>
  <c r="E23" i="14" l="1"/>
  <c r="F23" i="14" s="1"/>
  <c r="G23" i="14" s="1"/>
  <c r="H23" i="14" s="1"/>
  <c r="I23" i="14" s="1"/>
  <c r="J23" i="14" s="1"/>
  <c r="K23" i="14" s="1"/>
  <c r="L23" i="14" s="1"/>
  <c r="M23" i="14" s="1"/>
  <c r="C20" i="14"/>
  <c r="B20" i="14"/>
  <c r="F14" i="3"/>
  <c r="E13" i="5"/>
  <c r="G14" i="4"/>
  <c r="F14" i="5"/>
  <c r="G14" i="5" l="1"/>
  <c r="H14" i="4"/>
  <c r="F13" i="5"/>
  <c r="G14" i="3"/>
  <c r="H14" i="3" l="1"/>
  <c r="G13" i="5"/>
  <c r="I14" i="4"/>
  <c r="H14" i="5"/>
  <c r="J14" i="4" l="1"/>
  <c r="I14" i="5"/>
  <c r="H13" i="5"/>
  <c r="I14" i="3"/>
  <c r="I13" i="5" l="1"/>
  <c r="J14" i="3"/>
  <c r="K14" i="4"/>
  <c r="J14" i="5"/>
  <c r="K14" i="5" l="1"/>
  <c r="L14" i="4"/>
  <c r="J13" i="5"/>
  <c r="K14" i="3"/>
  <c r="K13" i="5" l="1"/>
  <c r="L14" i="3"/>
  <c r="L14" i="5"/>
  <c r="M14" i="4"/>
  <c r="M14" i="5" l="1"/>
  <c r="C5" i="5"/>
  <c r="M14" i="3"/>
  <c r="L13" i="5"/>
  <c r="M13" i="5" l="1"/>
  <c r="B5" i="5"/>
</calcChain>
</file>

<file path=xl/sharedStrings.xml><?xml version="1.0" encoding="utf-8"?>
<sst xmlns="http://schemas.openxmlformats.org/spreadsheetml/2006/main" count="1289" uniqueCount="638">
  <si>
    <t>ANTÉVIA — Premissas do Modelo Financeiro v1.0</t>
  </si>
  <si>
    <t>Simples Nacional — Anexo III (2027–2028)</t>
  </si>
  <si>
    <t>Premissa</t>
  </si>
  <si>
    <t>Valor</t>
  </si>
  <si>
    <t>Unidade</t>
  </si>
  <si>
    <t>Tipo</t>
  </si>
  <si>
    <t>Status / observação</t>
  </si>
  <si>
    <t>Fonte</t>
  </si>
  <si>
    <t>RBT12 até (R$)</t>
  </si>
  <si>
    <t>Alíquota nominal</t>
  </si>
  <si>
    <t>Dedução (R$)</t>
  </si>
  <si>
    <t>Horizonte</t>
  </si>
  <si>
    <t>trimestres</t>
  </si>
  <si>
    <t>Modelo</t>
  </si>
  <si>
    <t>3 anos</t>
  </si>
  <si>
    <t>Sprint E6</t>
  </si>
  <si>
    <t>Senado / LC 123</t>
  </si>
  <si>
    <t>Fee por viagem</t>
  </si>
  <si>
    <t>R$/viagem</t>
  </si>
  <si>
    <t>Input</t>
  </si>
  <si>
    <t>Premissa não validada</t>
  </si>
  <si>
    <t>Sprint 4</t>
  </si>
  <si>
    <t>Taxa processamento fee</t>
  </si>
  <si>
    <t>% fee</t>
  </si>
  <si>
    <t>Premissa gerencial v1</t>
  </si>
  <si>
    <t>Hipótese Antévia</t>
  </si>
  <si>
    <t>Perdas operacionais</t>
  </si>
  <si>
    <t>% receita</t>
  </si>
  <si>
    <t>Reserva mínima A</t>
  </si>
  <si>
    <t>R$</t>
  </si>
  <si>
    <t>3 meses OPEX médio A1</t>
  </si>
  <si>
    <t>Cálculo Antévia</t>
  </si>
  <si>
    <t>Reserva mínima B</t>
  </si>
  <si>
    <t>3 meses OPEX médio B1</t>
  </si>
  <si>
    <t>CAPEX A1</t>
  </si>
  <si>
    <t>Equipamentos</t>
  </si>
  <si>
    <t>CAPEX A2</t>
  </si>
  <si>
    <t>Equipamentos + tecnologia</t>
  </si>
  <si>
    <t>Fontes externas</t>
  </si>
  <si>
    <t>CAPEX A3</t>
  </si>
  <si>
    <t>Simples 2027 / RTC</t>
  </si>
  <si>
    <t>https://www.gov.br/receitafederal/pt-br/assuntos/noticias/2026/agosto/cgsn-atualiza-regras-do-simples-nacional-para-adequacao-a-reforma-tributaria-do-consumo</t>
  </si>
  <si>
    <t>OPEX A1</t>
  </si>
  <si>
    <t>R$/ano</t>
  </si>
  <si>
    <t>Founder-led</t>
  </si>
  <si>
    <t>LC 214 — Agências de turismo</t>
  </si>
  <si>
    <t>https://planalto.gov.br/ccivil_03/leis/lcp/lcp214compilado.htm</t>
  </si>
  <si>
    <t>OPEX A2</t>
  </si>
  <si>
    <t>1 FTE Ops/CS + founders</t>
  </si>
  <si>
    <t>Anexo III 2027–2028</t>
  </si>
  <si>
    <t>https://legis.senado.gov.br/norma/40180341/publicacao/40181117</t>
  </si>
  <si>
    <t>OPEX A3</t>
  </si>
  <si>
    <t>2 FTE Ops/CS; comercial condicional excluído</t>
  </si>
  <si>
    <t>OPEX B1</t>
  </si>
  <si>
    <t>2 FTEs profissionais</t>
  </si>
  <si>
    <t>OPEX B2</t>
  </si>
  <si>
    <t>Estrutura profissional v1</t>
  </si>
  <si>
    <t>OPEX B3</t>
  </si>
  <si>
    <t>2 Ops/CS + comercial</t>
  </si>
  <si>
    <t>Sweat equity A1</t>
  </si>
  <si>
    <t>Analítico</t>
  </si>
  <si>
    <t>Fora da DFC</t>
  </si>
  <si>
    <t>Tributação-base</t>
  </si>
  <si>
    <t>Simples Nacional - Anexo III</t>
  </si>
  <si>
    <t>texto</t>
  </si>
  <si>
    <t>Enquadramento deve ser validado por contador</t>
  </si>
  <si>
    <t>LC 123 / alterações 2026</t>
  </si>
  <si>
    <t>Nota tributária: modelo usa Simples Nacional como base acadêmica. O enquadramento CNAE/Anexo e a opção de IBS/CBS devem ser validados antes da implementação.</t>
  </si>
  <si>
    <t>ANTÉVIA — Receita Tendencial Trimestral</t>
  </si>
  <si>
    <t>R$ mil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</si>
  <si>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</si>
  <si>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</si>
  <si>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</si>
  <si>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</si>
  <si>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</si>
  <si>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</si>
  <si>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</si>
  <si>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</si>
  <si>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</si>
  <si>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</si>
  <si>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</si>
  <si>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</si>
  <si>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Receita tendencial</t>
  </si>
  <si>
    <t>Ano</t>
  </si>
  <si>
    <t>Receita (R$ mil)</t>
  </si>
  <si>
    <t>Status</t>
  </si>
  <si>
    <t>Observação</t>
  </si>
  <si>
    <t>Ano 1</t>
  </si>
  <si>
    <t>Herdado</t>
  </si>
  <si>
    <t>Ano 2</t>
  </si>
  <si>
    <t>Ano 3</t>
  </si>
  <si>
    <t>A distribuição T1–T12 é uma premissa de trimestralização que preserva exatamente os totais anuais do Sprint 4; substituir pelos valores originais se disponibilizados.</t>
  </si>
  <si>
    <t>ANTÉVIA — DFC A (R$ mil)</t>
  </si>
  <si>
    <t>Linha</t>
  </si>
  <si>
    <t>Receita operacional</t>
  </si>
  <si>
    <t>Taxas transacionais</t>
  </si>
  <si>
    <t>OPEX</t>
  </si>
  <si>
    <t>Tributos (provisão modelada)</t>
  </si>
  <si>
    <t>Fluxo operacional</t>
  </si>
  <si>
    <t>CAPEX</t>
  </si>
  <si>
    <t>FCL pré-funding</t>
  </si>
  <si>
    <t>Funding inicial</t>
  </si>
  <si>
    <t>Variação líquida de caixa</t>
  </si>
  <si>
    <t>Caixa acumulado</t>
  </si>
  <si>
    <t>Cumulativo pré-funding</t>
  </si>
  <si>
    <t>Tributos v3: vinculados à aba Tributacao_v3, usando Anexo III e alíquota efetiva por RBT12 aproximada trimestralmente. A apuração legal é mensal; o modelo serve à projeção econômico-financeira do E6.</t>
  </si>
  <si>
    <t>Receita agora vinculada à Receita_v2 bottom-up. O modelo reconcilia as receitas herdadas via drivers explícitos; fee/comissão continuam premissas a validar no MVP.</t>
  </si>
  <si>
    <t>ANTÉVIA — DFC B (R$ mil)</t>
  </si>
  <si>
    <t>ANTÉVIA — Resumo A × B</t>
  </si>
  <si>
    <t>Indicador</t>
  </si>
  <si>
    <t>A — Bootstrap</t>
  </si>
  <si>
    <t>B — Angel</t>
  </si>
  <si>
    <t>Valuation pre-money (R$ mil)</t>
  </si>
  <si>
    <t>Aporte B (R$ mil)</t>
  </si>
  <si>
    <t>Post-money</t>
  </si>
  <si>
    <t>Diluição</t>
  </si>
  <si>
    <t>Funding inicial (R$ mil)</t>
  </si>
  <si>
    <t>Caixa final T12 (R$ mil)</t>
  </si>
  <si>
    <t>FCL pré-funding 3 anos (R$ mil)</t>
  </si>
  <si>
    <t>Sweat equity A1 (R$ mil)</t>
  </si>
  <si>
    <t>Staff profissional A1</t>
  </si>
  <si>
    <t>2 FTEs</t>
  </si>
  <si>
    <t>Dívida</t>
  </si>
  <si>
    <t>Não</t>
  </si>
  <si>
    <t>Sim</t>
  </si>
  <si>
    <t>A</t>
  </si>
  <si>
    <t>B</t>
  </si>
  <si>
    <t>Tributação v3</t>
  </si>
  <si>
    <t>DAS Ano 1 (R$ mil)</t>
  </si>
  <si>
    <t>DAS Ano 2 (R$ mil)</t>
  </si>
  <si>
    <t>DAS Ano 3 (R$ mil)</t>
  </si>
  <si>
    <t>Carga efetiva A3</t>
  </si>
  <si>
    <t>Sensibilidades prioritárias — Antévia</t>
  </si>
  <si>
    <t>Variável</t>
  </si>
  <si>
    <t>Pessimista</t>
  </si>
  <si>
    <t>Tendencial</t>
  </si>
  <si>
    <t>Otimista</t>
  </si>
  <si>
    <t>Impacto esperado</t>
  </si>
  <si>
    <t>Fee (R$)</t>
  </si>
  <si>
    <t>Receita / margem</t>
  </si>
  <si>
    <t>Tempo humano/viagem (min)</t>
  </si>
  <si>
    <t>Headcount / OPEX</t>
  </si>
  <si>
    <t>FCL</t>
  </si>
  <si>
    <t>Touchless rate</t>
  </si>
  <si>
    <t>Capacidade operacional</t>
  </si>
  <si>
    <t>ANTÉVIA — Receita v2 Bottom-up e Reconciliação</t>
  </si>
  <si>
    <t>Driver</t>
  </si>
  <si>
    <t>Natureza</t>
  </si>
  <si>
    <t>Fonte/Status</t>
  </si>
  <si>
    <t>Fórmula-chave</t>
  </si>
  <si>
    <t>Validação</t>
  </si>
  <si>
    <t>Controle</t>
  </si>
  <si>
    <t>Resultado</t>
  </si>
  <si>
    <t>Escolas parceiras</t>
  </si>
  <si>
    <t>escolas</t>
  </si>
  <si>
    <t>Input E6</t>
  </si>
  <si>
    <t>Ramp-up comercial</t>
  </si>
  <si>
    <t>Premissa E6</t>
  </si>
  <si>
    <t>driver</t>
  </si>
  <si>
    <t>Viagens 3 anos</t>
  </si>
  <si>
    <t>Alunos elegíveis / escola</t>
  </si>
  <si>
    <t>alunos</t>
  </si>
  <si>
    <t>Base endereçável por escola</t>
  </si>
  <si>
    <t>Receita A1</t>
  </si>
  <si>
    <t>Taxa de adesão</t>
  </si>
  <si>
    <t>%</t>
  </si>
  <si>
    <t>Conversão elegível → ativo</t>
  </si>
  <si>
    <t>Receita A2</t>
  </si>
  <si>
    <t>Alunos ativos</t>
  </si>
  <si>
    <t>Cálculo</t>
  </si>
  <si>
    <t>Escolas × elegíveis × adesão</t>
  </si>
  <si>
    <t>Calculado</t>
  </si>
  <si>
    <t>escolas x elegíveis x adesão</t>
  </si>
  <si>
    <t>Receita A3</t>
  </si>
  <si>
    <t>Viagens monetizadas</t>
  </si>
  <si>
    <t>viagens</t>
  </si>
  <si>
    <t>Input de reconciliação</t>
  </si>
  <si>
    <t>Total 3 anos = 5.508</t>
  </si>
  <si>
    <t>Referência herdada</t>
  </si>
  <si>
    <t>referência</t>
  </si>
  <si>
    <t>Viagens / aluno ativo</t>
  </si>
  <si>
    <t>x</t>
  </si>
  <si>
    <t>Intensidade de uso</t>
  </si>
  <si>
    <t>viagens / alunos ativos</t>
  </si>
  <si>
    <t>Fee médio</t>
  </si>
  <si>
    <t>Ponto médio da hipótese R$50–150</t>
  </si>
  <si>
    <t>Projeto / hipótese</t>
  </si>
  <si>
    <t>premissa</t>
  </si>
  <si>
    <t>Unit economics</t>
  </si>
  <si>
    <t>Valor tendencial</t>
  </si>
  <si>
    <t>Ticket médio GMV</t>
  </si>
  <si>
    <t>Cálculo de reconciliação</t>
  </si>
  <si>
    <t>Ticket implícito com comissão de 5%</t>
  </si>
  <si>
    <t>receita-alvo / viagens</t>
  </si>
  <si>
    <t>Fee / viagem</t>
  </si>
  <si>
    <t>Comissão média fornecedor</t>
  </si>
  <si>
    <t>% GMV</t>
  </si>
  <si>
    <t>Hipótese de monetização B2B</t>
  </si>
  <si>
    <t>Ticket GMV / viagem</t>
  </si>
  <si>
    <t>Receita fee</t>
  </si>
  <si>
    <t>Viagens × fee</t>
  </si>
  <si>
    <t>viagens x fee</t>
  </si>
  <si>
    <t>Comissão</t>
  </si>
  <si>
    <t>GMV intermediado</t>
  </si>
  <si>
    <t>Viagens × ticket médio</t>
  </si>
  <si>
    <t>viagens x ticket</t>
  </si>
  <si>
    <t>Receita / viagem</t>
  </si>
  <si>
    <t>Receita comissão</t>
  </si>
  <si>
    <t>GMV × comissão</t>
  </si>
  <si>
    <t>GMV x comissão</t>
  </si>
  <si>
    <t>Custo processamento / viagem</t>
  </si>
  <si>
    <t>Receita bottom-up</t>
  </si>
  <si>
    <t>Fee + comissão</t>
  </si>
  <si>
    <t>fee + comissão</t>
  </si>
  <si>
    <t>Margem antes OPEX / viagem</t>
  </si>
  <si>
    <t>Receita herdada</t>
  </si>
  <si>
    <t>Benchmark</t>
  </si>
  <si>
    <t>Sprint anterior</t>
  </si>
  <si>
    <t>benchmark</t>
  </si>
  <si>
    <t>Gap reconciliação</t>
  </si>
  <si>
    <t>Bottom-up – herdada</t>
  </si>
  <si>
    <t>bottom-up - herdada</t>
  </si>
  <si>
    <t>ATENÇÃO: escolas, base elegível, adesão, fee e comissão são premissas E6. O ticket médio (~R$1,99 mil) é o valor implícito necessário para reconciliar as receitas herdadas com fee de R$100 e comissão de 5%.</t>
  </si>
  <si>
    <t>Gap %</t>
  </si>
  <si>
    <t>Gap / receita herdada</t>
  </si>
  <si>
    <t>gap / herdada</t>
  </si>
  <si>
    <t>R$ / viagens</t>
  </si>
  <si>
    <t>Comissão média</t>
  </si>
  <si>
    <t>Leitura: a reconciliação fecha com fee de R$100 + comissão de 5% sobre GMV e ticket médio implícito de aproximadamente R$1.990 por viagem. Escolas, elegíveis, adesão, fee e comissão são premissas E6; 5.508 viagens e receitas anuais são referências herdadas. O ticket é calculado, não assumido, para testar a consistência econômica da projeção.</t>
  </si>
  <si>
    <t>ANTÉVIA — Tributação v3 | Simples Nacional — Anexo III</t>
  </si>
  <si>
    <t>Receita trimestral (R$)</t>
  </si>
  <si>
    <t>RBT12 de referência (R$)</t>
  </si>
  <si>
    <t>Parcela a deduzir (R$)</t>
  </si>
  <si>
    <t>Alíquota efetiva</t>
  </si>
  <si>
    <t>DAS estimado trimestre (R$)</t>
  </si>
  <si>
    <t>Receita</t>
  </si>
  <si>
    <t>DAS estimado</t>
  </si>
  <si>
    <t>Alíquota efetiva média</t>
  </si>
  <si>
    <t>Anexo III — proxy trimestral RBT12</t>
  </si>
  <si>
    <t>Premissa-base E6: agência de viagem/turismo no Simples Nacional, Anexo III, sem Fator R. A apuração acima é uma aproximação trimestral para projeção acadêmica: a obrigação real é mensal e deve considerar a RBT12 e regras de início de atividade do PGDAS-D. A partir de 2027 IBS/CBS integram o Simples; a empresa pode optar pelo recolhimento regular desses tributos. A LC 214/2025 prevê regime específico para intermediação turística, deduzindo da base de IBS/CBS os valores repassados aos fornecedores intermediados e incluindo comissões/incentivos.</t>
  </si>
  <si>
    <t>Referência</t>
  </si>
  <si>
    <t>Uso no modelo</t>
  </si>
  <si>
    <t>Receita Federal — Perguntão Simples</t>
  </si>
  <si>
    <t>Agência de viagem e turismo: Anexo III, sem Fator R</t>
  </si>
  <si>
    <t>Enquadramento-base</t>
  </si>
  <si>
    <t>LC 123 — Anexo III 2027–2028</t>
  </si>
  <si>
    <t>Faixas 6%; 11,2%; 13,5%; 16%; 21%; 32,9%</t>
  </si>
  <si>
    <t>Cálculo da alíquota efetiva</t>
  </si>
  <si>
    <t>LC 214/2025, art. 289</t>
  </si>
  <si>
    <t>Regime específico de intermediação turística</t>
  </si>
  <si>
    <t>Base IBS/CBS</t>
  </si>
  <si>
    <t>Receita Federal — Res. CGSN 190/191</t>
  </si>
  <si>
    <t>IBS/CBS incorporados ao Simples a partir de 2027</t>
  </si>
  <si>
    <t>Reforma tributária</t>
  </si>
  <si>
    <t>Receita Federal — regime de caixa</t>
  </si>
  <si>
    <t>Apuração mensal passa a reconhecer receita por faturamento</t>
  </si>
  <si>
    <t>Capital de giro / ressalva</t>
  </si>
  <si>
    <t>ANTÉVIA — Stress Test A × B | Pessimista • Tendencial • Otimista</t>
  </si>
  <si>
    <t>Interpretação</t>
  </si>
  <si>
    <t>Cenário</t>
  </si>
  <si>
    <t>Funding A</t>
  </si>
  <si>
    <t>Caixa final A</t>
  </si>
  <si>
    <t>Funding B</t>
  </si>
  <si>
    <t>Caixa final B</t>
  </si>
  <si>
    <t>Receita 3a</t>
  </si>
  <si>
    <t>FCL A</t>
  </si>
  <si>
    <t>FCL B</t>
  </si>
  <si>
    <t>Volume de viagens vs. base</t>
  </si>
  <si>
    <t>Adesão/uso agregado</t>
  </si>
  <si>
    <t>Fee vs. base</t>
  </si>
  <si>
    <t>R$75 / R$100 / R$125</t>
  </si>
  <si>
    <t>Comissão vs. base</t>
  </si>
  <si>
    <t>3% / 5% / 6% do GMV</t>
  </si>
  <si>
    <t>OPEX vs. base</t>
  </si>
  <si>
    <t>Pressão/eficiência de custos</t>
  </si>
  <si>
    <t>Chargebacks/compensações</t>
  </si>
  <si>
    <t>Receita 3 anos</t>
  </si>
  <si>
    <t>Leitura</t>
  </si>
  <si>
    <t>Stress test gerencial: os choques são aplicados aos drivers econômicos, preservando a estrutura A/B. A tributação usa as cargas efetivas médias da v3 como aproximação; para decisão real, cada cenário deve ser recalculado mensalmente no PGDAS-D. O objetivo aqui é testar robustez, não produzir apuração fiscal.</t>
  </si>
  <si>
    <t>Cum A</t>
  </si>
  <si>
    <t>Cum B</t>
  </si>
  <si>
    <t>ANTÉVIA — DFC Final E6 | Cenário A — Bootstrap / Founder-led | R$ mil</t>
  </si>
  <si>
    <t>ATIVIDADES OPERACIONAIS</t>
  </si>
  <si>
    <t>Receita Bruta</t>
  </si>
  <si>
    <t>(-) Impostos sobre receita</t>
  </si>
  <si>
    <t>(-) Custos transacionais</t>
  </si>
  <si>
    <t>(-) Perdas operacionais</t>
  </si>
  <si>
    <t>(=) Receita após tributos/custos variáveis</t>
  </si>
  <si>
    <t>(-) Custos de prestação / pessoal operacional</t>
  </si>
  <si>
    <t>(-) Despesas SG&amp;A</t>
  </si>
  <si>
    <t>(=) Resultado operacional de caixa</t>
  </si>
  <si>
    <t>ATIVIDADES DE INVESTIMENTO</t>
  </si>
  <si>
    <t>(-) CAPEX / investimentos</t>
  </si>
  <si>
    <t>(=) Fluxo de Caixa Livre pré-financiamento</t>
  </si>
  <si>
    <t>ATIVIDADES DE FINANCIAMENTO</t>
  </si>
  <si>
    <t>(+) Aporte de capital</t>
  </si>
  <si>
    <t>(=) Variação líquida do caixa</t>
  </si>
  <si>
    <t>(=) FC Acumulado</t>
  </si>
  <si>
    <t>Nota de apresentação E6: a separação entre 'custos de prestação/pessoal operacional' e 'SG&amp;A' usa uma alocação gerencial de 65% / 35% do OPEX do cenário A — Bootstrap / Founder-led. A DFC original preserva o OPEX total; esta abertura serve para aderir à estrutura acadêmica de Custos x Despesas. A alocação deve ser refinada quando houver folha e centros de custo definitivos.</t>
  </si>
  <si>
    <t>ANTÉVIA — DFC Final E6 | Cenário B — Angel / Professional-led | R$ mil</t>
  </si>
  <si>
    <t>Nota de apresentação E6: a separação entre 'custos de prestação/pessoal operacional' e 'SG&amp;A' usa uma alocação gerencial de 65% / 35% do OPEX do cenário B — Angel / Professional-led. A DFC original preserva o OPEX total; esta abertura serve para aderir à estrutura acadêmica de Custos x Despesas. A alocação deve ser refinada quando houver folha e centros de custo definitivos.</t>
  </si>
  <si>
    <t>ANTÉVIA — Mapa de Entregáveis | Sprint E6</t>
  </si>
  <si>
    <t>Entregável do enunciado</t>
  </si>
  <si>
    <t>Situação</t>
  </si>
  <si>
    <t>Onde está</t>
  </si>
  <si>
    <t>Conteúdo-chave</t>
  </si>
  <si>
    <t>Premissa/GAP</t>
  </si>
  <si>
    <t>Vai ao Squeeze?</t>
  </si>
  <si>
    <t>Responsável</t>
  </si>
  <si>
    <t>1. Macroprocesso de negócio</t>
  </si>
  <si>
    <t>PARCIAL</t>
  </si>
  <si>
    <t>Material anterior / Squeeze</t>
  </si>
  <si>
    <t>Fluxo ponta a ponta da prestação</t>
  </si>
  <si>
    <t>Converter em visual final</t>
  </si>
  <si>
    <t>SIM</t>
  </si>
  <si>
    <t>Equipe</t>
  </si>
  <si>
    <t>Exigência explícita E6</t>
  </si>
  <si>
    <t>2. Estrutura de pessoal</t>
  </si>
  <si>
    <t>PRONTO</t>
  </si>
  <si>
    <t>Premissas + DFC A/B</t>
  </si>
  <si>
    <t>Founder-led vs staff profissional</t>
  </si>
  <si>
    <t>Refinar cargos/salários se necessário</t>
  </si>
  <si>
    <t>Evolução A1–A3</t>
  </si>
  <si>
    <t>3. Custos, despesas e investimentos</t>
  </si>
  <si>
    <t>Premissas + DFC_Final_A/B</t>
  </si>
  <si>
    <t>OPEX, custos variáveis, SG&amp;A, CAPEX</t>
  </si>
  <si>
    <t>Alocação custos/SG&amp;A é gerencial</t>
  </si>
  <si>
    <t>4. DFC 3 anos</t>
  </si>
  <si>
    <t>DFC_Final_A / DFC_Final_B</t>
  </si>
  <si>
    <t>Operação, investimento, financiamento</t>
  </si>
  <si>
    <t>Trimestral</t>
  </si>
  <si>
    <t>12 trimestres</t>
  </si>
  <si>
    <t>3 cenários</t>
  </si>
  <si>
    <t>Stress_Test</t>
  </si>
  <si>
    <t>Pessimista, tendencial, otimista</t>
  </si>
  <si>
    <t>Drivers explicitados</t>
  </si>
  <si>
    <t>Análise de sensibilidade</t>
  </si>
  <si>
    <t>Stress_Test + Sensibilidade</t>
  </si>
  <si>
    <t>Volume, fee, comissão, OPEX, perdas</t>
  </si>
  <si>
    <t>Premissas E6</t>
  </si>
  <si>
    <t>Memória de cálculo</t>
  </si>
  <si>
    <t>Receita_v2 / Tributacao_v3 / Premissas</t>
  </si>
  <si>
    <t>Drivers auditáveis</t>
  </si>
  <si>
    <t>Hipóteses marcadas</t>
  </si>
  <si>
    <t>NÃO — apoio</t>
  </si>
  <si>
    <t>Munição para banca</t>
  </si>
  <si>
    <t>Financiamento A x B</t>
  </si>
  <si>
    <t>EXTRA</t>
  </si>
  <si>
    <t>Resumo / DFC A/B</t>
  </si>
  <si>
    <t>Bootstrap x Angel</t>
  </si>
  <si>
    <t>C descartado</t>
  </si>
  <si>
    <t>SIM — síntese</t>
  </si>
  <si>
    <t>Além do mínimo exigido</t>
  </si>
  <si>
    <t>Fonte do checklist: BD Sprint E6 — Resumo dos Entregáveis: macroprocesso; estrutura de pessoal; projeções de custos, despesas e investimentos; DFC por meses e/ou trimestres no período de 3 anos; e, no corpo da atividade, pelo menos três cenários com análise de sensibilidade.</t>
  </si>
  <si>
    <t>Slide</t>
  </si>
  <si>
    <t>Título</t>
  </si>
  <si>
    <t>Mensagem central</t>
  </si>
  <si>
    <t>Visual sugerido</t>
  </si>
  <si>
    <t>Números-chave</t>
  </si>
  <si>
    <t>Fonte na planilha</t>
  </si>
  <si>
    <t>Notas</t>
  </si>
  <si>
    <t>Macroprocesso</t>
  </si>
  <si>
    <t>Como a Antévia entrega valor ponta a ponta</t>
  </si>
  <si>
    <t>Fluxo horizontal</t>
  </si>
  <si>
    <t>—</t>
  </si>
  <si>
    <t>Material macroprocesso</t>
  </si>
  <si>
    <t>PENDENTE</t>
  </si>
  <si>
    <t>Construir visual</t>
  </si>
  <si>
    <t>Estrutura operacional</t>
  </si>
  <si>
    <t>A entrada founder-led reduz caixa; profissionalização compra capacidade</t>
  </si>
  <si>
    <t>Organograma A1→A3</t>
  </si>
  <si>
    <t>A vs B</t>
  </si>
  <si>
    <t>Premissas</t>
  </si>
  <si>
    <t>Economia unitária</t>
  </si>
  <si>
    <t>Receita = fee + comissão, separada do GMV</t>
  </si>
  <si>
    <t>Waterfall por viagem</t>
  </si>
  <si>
    <t>~R$100 fee + ~R$100 comissão</t>
  </si>
  <si>
    <t>Receita_v2</t>
  </si>
  <si>
    <t>Custos, despesas e CAPEX</t>
  </si>
  <si>
    <t>Estrutura enxuta e escalável</t>
  </si>
  <si>
    <t>Barras por ano</t>
  </si>
  <si>
    <t>OPEX/CAPEX A/B</t>
  </si>
  <si>
    <t>DFC tendencial</t>
  </si>
  <si>
    <t>O bootstrap requer menos capital no cenário-base</t>
  </si>
  <si>
    <t>Curvas de caixa</t>
  </si>
  <si>
    <t>~R$47–48k A; ~R$338–340k B</t>
  </si>
  <si>
    <t>DFC_Final_A/B</t>
  </si>
  <si>
    <t>Stress test</t>
  </si>
  <si>
    <t>A viabilidade é sensível à validação comercial</t>
  </si>
  <si>
    <t>Funding A/B por cenário</t>
  </si>
  <si>
    <t>Estrutura de capital</t>
  </si>
  <si>
    <t>Dívida foi testada e descartada; equity é capital paciente</t>
  </si>
  <si>
    <t>A vs B + nota C</t>
  </si>
  <si>
    <t>A founder-led; B angel</t>
  </si>
  <si>
    <t>Resumo</t>
  </si>
  <si>
    <t>Recomendação</t>
  </si>
  <si>
    <t>Começar A; migrar para B após marcos de validação</t>
  </si>
  <si>
    <t>Stage gates</t>
  </si>
  <si>
    <t>adesão, frequência, fee, comissão</t>
  </si>
  <si>
    <t>ANTÉVIA — Cenários Oficiais Recuperados do Sprint 04</t>
  </si>
  <si>
    <t>Ano 1 (R$)</t>
  </si>
  <si>
    <t>Ano 2 (R$)</t>
  </si>
  <si>
    <t>Ano 3 (R$)</t>
  </si>
  <si>
    <t>3 anos (R$)</t>
  </si>
  <si>
    <t>Alunos A1</t>
  </si>
  <si>
    <t>Alunos T12</t>
  </si>
  <si>
    <t>Fonte: trajetória da disciplina / Sprint 04 no deck compartilhado. A v6 restaura estes cenários como referência oficial. As variáveis 'escolas × elegíveis × adesão' introduzidas na v2 permanecem apenas como memória exploratória e NÃO são usadas na consolidação final.</t>
  </si>
  <si>
    <t>Driver oficial</t>
  </si>
  <si>
    <t>Alunos captados (referências A1/T12)</t>
  </si>
  <si>
    <t>50 → 320</t>
  </si>
  <si>
    <t>100 → 650</t>
  </si>
  <si>
    <t>160 → 1.100</t>
  </si>
  <si>
    <t>Taxa de serviço</t>
  </si>
  <si>
    <t>Variável-chave</t>
  </si>
  <si>
    <t>Nota de fonte externa já validada no repositório: H6 (disposição a pagar R$50–150) segue 'a verificar'; portanto taxa de serviço e comissão devem permanecer hipóteses críticas, não fatos validados.</t>
  </si>
  <si>
    <t>ANTÉVIA — Sprint 06 | Indicadores de Viabilidade Econômico-Financeira</t>
  </si>
  <si>
    <t>TMA anual</t>
  </si>
  <si>
    <t>% a.a.</t>
  </si>
  <si>
    <t>Premissa E6/S06 — definir/validar</t>
  </si>
  <si>
    <t>TMA trimestral</t>
  </si>
  <si>
    <t>% a.t.</t>
  </si>
  <si>
    <t>Calculada</t>
  </si>
  <si>
    <t>Sprint 06</t>
  </si>
  <si>
    <t>T0</t>
  </si>
  <si>
    <t>FCL A — Tendencial (R$ mil)</t>
  </si>
  <si>
    <t>FCL B — Tendencial (R$ mil)</t>
  </si>
  <si>
    <t>Métrica</t>
  </si>
  <si>
    <t>Investimento/funding inicial</t>
  </si>
  <si>
    <t>Capital inicial modelado</t>
  </si>
  <si>
    <t>VPL do projeto</t>
  </si>
  <si>
    <t>VPL dos FCLs a TMA de 15% a.a.</t>
  </si>
  <si>
    <t>TIR trimestral</t>
  </si>
  <si>
    <t>Retorno implícito</t>
  </si>
  <si>
    <t>TIR anual equivalente</t>
  </si>
  <si>
    <t>Comparável à TMA</t>
  </si>
  <si>
    <t>Payback simples</t>
  </si>
  <si>
    <t>Primeiro trimestre com acumulado ≥ 0</t>
  </si>
  <si>
    <t>Exposição máxima</t>
  </si>
  <si>
    <t>Maior caixa acumulado negativo</t>
  </si>
  <si>
    <t>Acumulado / payback</t>
  </si>
  <si>
    <t>Primeiro resultado operacional positivo</t>
  </si>
  <si>
    <t>trimestre</t>
  </si>
  <si>
    <t>Primeiro trimestre em que o resultado operacional de caixa é &gt; 0</t>
  </si>
  <si>
    <t>Calculado — DFC final</t>
  </si>
  <si>
    <t>Metodologia: TMA de 15% a.a. é uma premissa de modelagem ainda não definida nas fontes recuperadas; fica em amarelo para decisão da equipe. VPL/TIR/Payback são calculados sobre o cenário tendencial e os FCLs trimestrais já modelados. Não interpretar o cenário B como valuation de equity do investidor: aqui mede-se a viabilidade econômica do projeto sob a estrutura B.</t>
  </si>
  <si>
    <t>ANTÉVIA — Sprint 06 | Plano de Implementação</t>
  </si>
  <si>
    <t>Frente</t>
  </si>
  <si>
    <t>Entregável</t>
  </si>
  <si>
    <t>Conteúdo inicial</t>
  </si>
  <si>
    <t>Prioridade</t>
  </si>
  <si>
    <t>Dependência</t>
  </si>
  <si>
    <t>Próxima ação</t>
  </si>
  <si>
    <t>Viabilidade</t>
  </si>
  <si>
    <t>VPL / TIR / Payback</t>
  </si>
  <si>
    <t>Indicadores A e B com TMA parametrizada</t>
  </si>
  <si>
    <t>Viabilidade_S06</t>
  </si>
  <si>
    <t>EM CURSO</t>
  </si>
  <si>
    <t>Alta</t>
  </si>
  <si>
    <t>Definir TMA</t>
  </si>
  <si>
    <t>Validar premissa</t>
  </si>
  <si>
    <t>Implementação</t>
  </si>
  <si>
    <t>EAP</t>
  </si>
  <si>
    <t>Pacotes: validação comercial, parceiros, MVP, operação, piloto, escala</t>
  </si>
  <si>
    <t>Construir</t>
  </si>
  <si>
    <t>Cronograma</t>
  </si>
  <si>
    <t>Sequência e marcos de implantação</t>
  </si>
  <si>
    <t>Governança</t>
  </si>
  <si>
    <t>Matriz de responsabilidades</t>
  </si>
  <si>
    <t>RACI/RACIP por pacote de trabalho</t>
  </si>
  <si>
    <t>Membros/roles</t>
  </si>
  <si>
    <t>Gestão</t>
  </si>
  <si>
    <t>Marcos, indicadores e metas</t>
  </si>
  <si>
    <t>KPIs de validação, operação, financeiro e cliente</t>
  </si>
  <si>
    <t>Hipóteses críticas</t>
  </si>
  <si>
    <t>Risco</t>
  </si>
  <si>
    <t>Matriz de riscos</t>
  </si>
  <si>
    <t>Retomar H1–H8 e riscos operacionais/financeiros</t>
  </si>
  <si>
    <t>Sprint 01 + Sprint 06</t>
  </si>
  <si>
    <t>Hipóteses</t>
  </si>
  <si>
    <t>Riscos/hipóteses recuperados do Sprint 01: H1, H3, H4, H5 e H8 confirmadas; H2 e H6 a verificar; H7 parcialmente refutada. H6 (disposição a pagar R$50–150) permanece uma hipótese crítica para o plano de implementação.</t>
  </si>
  <si>
    <t>ANTÉVIA — Sprint E6 | Auditoria de Cobertura dos Entregáveis</t>
  </si>
  <si>
    <t>Exigência</t>
  </si>
  <si>
    <t>Item a cobrir</t>
  </si>
  <si>
    <t>Tratamento no modelo</t>
  </si>
  <si>
    <t>Gap/ressalva</t>
  </si>
  <si>
    <t>Etapas da prestação do serviço</t>
  </si>
  <si>
    <t>PRONTO CONCEITUAL</t>
  </si>
  <si>
    <t>7 macroetapas + camada transversal</t>
  </si>
  <si>
    <t>Operacional</t>
  </si>
  <si>
    <t>Falta somente diagrama final</t>
  </si>
  <si>
    <t>Pessoal</t>
  </si>
  <si>
    <t>Estrutura, times, salários, encargos, benefícios</t>
  </si>
  <si>
    <t>MODELADO COM RESSALVA</t>
  </si>
  <si>
    <t>A/B abertos por função, headcount, salário, encargos/benefícios e custo anual</t>
  </si>
  <si>
    <t>Salários/carga de 40% são premissas a validar; OPEX total preservado</t>
  </si>
  <si>
    <t>Aquisição</t>
  </si>
  <si>
    <t>Custo de adquirir cliente/canais</t>
  </si>
  <si>
    <t>Marketing/prospecção dentro do OPEX</t>
  </si>
  <si>
    <t>SG&amp;A</t>
  </si>
  <si>
    <t>CAC isolado não está validado</t>
  </si>
  <si>
    <t>Prestação</t>
  </si>
  <si>
    <t>Custo para produzir/entregar serviço</t>
  </si>
  <si>
    <t>MODELADO</t>
  </si>
  <si>
    <t>Pessoal operacional + custos transacionais</t>
  </si>
  <si>
    <t>Custo</t>
  </si>
  <si>
    <t>Alocação gerencial</t>
  </si>
  <si>
    <t>Pós-venda</t>
  </si>
  <si>
    <t>Custo de atender cliente</t>
  </si>
  <si>
    <t>Ops/CS dentro do OPEX</t>
  </si>
  <si>
    <t>Sem centro de custo real</t>
  </si>
  <si>
    <t>Infraestrutura</t>
  </si>
  <si>
    <t>Estrutura física/ocupação</t>
  </si>
  <si>
    <t>Estrutura enxuta / despesas administrativas</t>
  </si>
  <si>
    <t>SG&amp;A/CAPEX</t>
  </si>
  <si>
    <t>NÃO</t>
  </si>
  <si>
    <t>Premissa de operação leve</t>
  </si>
  <si>
    <t>Tecnologia</t>
  </si>
  <si>
    <t>Sistemas/licenças/desenvolvimento</t>
  </si>
  <si>
    <t>SaaS + CAPEX de tecnologia</t>
  </si>
  <si>
    <t>OPEX/CAPEX</t>
  </si>
  <si>
    <t>Orçamentos reais não anexados</t>
  </si>
  <si>
    <t>Parceiros/sistemas</t>
  </si>
  <si>
    <t>Fornecedores e gestão</t>
  </si>
  <si>
    <t>Comissões/serviços/SaaS</t>
  </si>
  <si>
    <t>Custo/SG&amp;A</t>
  </si>
  <si>
    <t>Comissão é hipótese crítica</t>
  </si>
  <si>
    <t>Administrativo</t>
  </si>
  <si>
    <t>Contábil, geral, gestão</t>
  </si>
  <si>
    <t>OPEX administrativo</t>
  </si>
  <si>
    <t>Estimativa</t>
  </si>
  <si>
    <t>Marketing/prospecção</t>
  </si>
  <si>
    <t>Aquisição e comercial</t>
  </si>
  <si>
    <t>OPEX comercial</t>
  </si>
  <si>
    <t>CAC a validar</t>
  </si>
  <si>
    <t>Bancário/cobrança</t>
  </si>
  <si>
    <t>Meios de pagamento</t>
  </si>
  <si>
    <t>3% sobre fee</t>
  </si>
  <si>
    <t>Custo variável</t>
  </si>
  <si>
    <t>Legal-regulatório</t>
  </si>
  <si>
    <t>Jurídico/fiscal/compliance</t>
  </si>
  <si>
    <t>OPEX + tributação v3</t>
  </si>
  <si>
    <t>SG&amp;A/Tributos</t>
  </si>
  <si>
    <t>Validar com contador</t>
  </si>
  <si>
    <t>Investimentos</t>
  </si>
  <si>
    <t>Tecnologia/equipamentos</t>
  </si>
  <si>
    <t>DFC</t>
  </si>
  <si>
    <t>Operação + financiamento + investimento</t>
  </si>
  <si>
    <t>12 trimestres / 3 anos</t>
  </si>
  <si>
    <t>Formato acadêmico</t>
  </si>
  <si>
    <t>Cenários</t>
  </si>
  <si>
    <t>Pessimista/tendencial/otimista</t>
  </si>
  <si>
    <t>CORRIGIDO</t>
  </si>
  <si>
    <t>Cenários originais do Sprint anterior</t>
  </si>
  <si>
    <t>Sensibilidade</t>
  </si>
  <si>
    <t>Receitas restauradas</t>
  </si>
  <si>
    <t>Base da auditoria: BD Sprint E6 — Projeções Eco-Fin Parte 2, especialmente as questões das páginas 2–3 e o resumo dos quatro entregáveis da página 5. A planilha distingue itens modelados de itens ainda não validados; não transforma estimativas em dados observados.</t>
  </si>
  <si>
    <t>ANTÉVIA — E6 | Cenários Pessimista, Tendencial e Otimista</t>
  </si>
  <si>
    <t>Viagens 3a</t>
  </si>
  <si>
    <t>OPEX fator</t>
  </si>
  <si>
    <t>Perdas</t>
  </si>
  <si>
    <t>Acum A</t>
  </si>
  <si>
    <t>Acum B</t>
  </si>
  <si>
    <t>Cenários de receita restaurados da trajetória anterior do projeto. Para o E6 Parte 2, o stress de custos é gerencial: OPEX +10% no pessimista e -5% no otimista; perdas 2% / 1% / 0,5%. No cenário tendencial, Funding A/B está ancorado nos DFCs finais oficiais (E6_DFC_A_Final e E6_DFC_B_Final) para eliminar divergência entre consolidações. As linhas trimestrais desta aba permanecem como motor de sensibilidade e podem apresentar pequenas diferenças de granularidade.</t>
  </si>
  <si>
    <t>ANTÉVIA — E6 | DFC A — Bootstrap / Founder-led | R$ mil</t>
  </si>
  <si>
    <t>(=) Receita Líquida gerencial</t>
  </si>
  <si>
    <t>(-) Total de custos</t>
  </si>
  <si>
    <t>(=) Contribuição Bruta</t>
  </si>
  <si>
    <t>(-) Total de despesas (SG&amp;A)</t>
  </si>
  <si>
    <t>(-) Investimentos / CAPEX</t>
  </si>
  <si>
    <t>(=) Fluxo de Caixa Livre</t>
  </si>
  <si>
    <t>(+) Financiamento / aporte</t>
  </si>
  <si>
    <t>(=) FC do período</t>
  </si>
  <si>
    <t>FC Acumulado</t>
  </si>
  <si>
    <t>Abertura gerencial para aderência ao E6: 60% do OPEX do cenário A — Bootstrap / Founder-led é apresentado como custo de prestação e 40% como SG&amp;A. O OPEX total não muda. Essa alocação é estimativa até existir folha/centros de custo definitivos.</t>
  </si>
  <si>
    <t>ANTÉVIA — E6 | DFC B — Angel / Professional-led | R$ mil</t>
  </si>
  <si>
    <t>Abertura gerencial para aderência ao E6: 65% do OPEX do cenário B — Angel / Professional-led é apresentado como custo de prestação e 35% como SG&amp;A. O OPEX total não muda. Essa alocação é estimativa até existir folha/centros de custo definitivos.</t>
  </si>
  <si>
    <t>ANTÉVIA — E6 | Estrutura de Pessoal e Memória de Cálculo</t>
  </si>
  <si>
    <t>Premissa trabalhista/gerencial</t>
  </si>
  <si>
    <t>Uso</t>
  </si>
  <si>
    <t>Encargos + benefícios sobre salário</t>
  </si>
  <si>
    <t>% salário</t>
  </si>
  <si>
    <t>Staff contratado</t>
  </si>
  <si>
    <t>Proxy acadêmica; validar regime/benefícios</t>
  </si>
  <si>
    <t>Pró-labore caixa founders A1</t>
  </si>
  <si>
    <t>R$/mês</t>
  </si>
  <si>
    <t>Cenário A</t>
  </si>
  <si>
    <t>Dedicação tratada como sweat equity</t>
  </si>
  <si>
    <t>Valor econômico founders A1</t>
  </si>
  <si>
    <t>R$/mês por founder</t>
  </si>
  <si>
    <t>Premissa herdada</t>
  </si>
  <si>
    <t>Sweat equity</t>
  </si>
  <si>
    <t>2 founders = R$148,8 mil/ano</t>
  </si>
  <si>
    <t>Meses por ano</t>
  </si>
  <si>
    <t>meses</t>
  </si>
  <si>
    <t>Headcount founder A1</t>
  </si>
  <si>
    <t>pessoas</t>
  </si>
  <si>
    <t>Não integra folha caixa A1</t>
  </si>
  <si>
    <t>Função</t>
  </si>
  <si>
    <t>Qtd.</t>
  </si>
  <si>
    <t>Salário mensal</t>
  </si>
  <si>
    <t>Enc.+benef.</t>
  </si>
  <si>
    <t>Custo mensal unit.</t>
  </si>
  <si>
    <t>Custo anual staff</t>
  </si>
  <si>
    <t>Founders em caixa</t>
  </si>
  <si>
    <t>Pessoal total caixa</t>
  </si>
  <si>
    <t>OPEX total existente</t>
  </si>
  <si>
    <t>OPEX não-pessoal residual</t>
  </si>
  <si>
    <t>Macroprocesso suportado</t>
  </si>
  <si>
    <t>A1</t>
  </si>
  <si>
    <t>Founders — operação/comercial</t>
  </si>
  <si>
    <t>Aquisição; planejamento; intermediação; concierge; gestão</t>
  </si>
  <si>
    <t>Premissa E6 — salário a validar</t>
  </si>
  <si>
    <t>A2</t>
  </si>
  <si>
    <t>Ops/CS</t>
  </si>
  <si>
    <t>Onboarding; planejamento; concierge; exceções; pós-viagem</t>
  </si>
  <si>
    <t>A3</t>
  </si>
  <si>
    <t>Comercial/Parcerias</t>
  </si>
  <si>
    <t>Aquisição; escolas/parceiros; relacionamento</t>
  </si>
  <si>
    <t>Cenário/Ano</t>
  </si>
  <si>
    <t>HC staff</t>
  </si>
  <si>
    <t>Custo staff</t>
  </si>
  <si>
    <t>Founders caixa</t>
  </si>
  <si>
    <t>Pessoal caixa</t>
  </si>
  <si>
    <t>OPEX não-pessoal</t>
  </si>
  <si>
    <t>OPEX total</t>
  </si>
  <si>
    <t>Check</t>
  </si>
  <si>
    <t>Qtd founders</t>
  </si>
  <si>
    <t>Valor mensal</t>
  </si>
  <si>
    <t>Meses</t>
  </si>
  <si>
    <t>Valor anual</t>
  </si>
  <si>
    <t>A/A1</t>
  </si>
  <si>
    <t>Founder-led A1</t>
  </si>
  <si>
    <t>A/A2</t>
  </si>
  <si>
    <t>A/A3</t>
  </si>
  <si>
    <t>B/A1</t>
  </si>
  <si>
    <t>B/A2</t>
  </si>
  <si>
    <t>B/A3</t>
  </si>
  <si>
    <t>IMPORTANTE: os salários e a carga de 40% são premissas gerenciais criadas para abrir o OPEX agregado já existente; não foram encontrados, nas fontes do projeto, salários contratados, benefícios definidos ou regime trabalhista fechado. Por isso a planilha calcula o OPEX não-pessoal como residual e preserva exatamente os totais financeiros já aprovados no modelo. No cenário A/A1, os dois founders não recebem pró-labore em caixa; seu valor econômico de R$148,8 mil/ano permanece tratado separadamente como sweat equity.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</si>
</sst>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#,##0.0;[Red]\(#,##0.0\);\-"/>
    <numFmt numFmtId="166" formatCode="0.00\x"/>
    <numFmt numFmtId="167" formatCode="\R\$\ #,##0.00"/>
    <numFmt numFmtId="168" formatCode="\R\$\ #,##0;[Red]\(\R\$\ #,##0\);\-"/>
    <numFmt numFmtId="169" formatCode="\R\$\ #,##0"/>
    <numFmt numFmtId="170" formatCode="#,##0.0"/>
    <numFmt numFmtId="171" formatCode="\R\$\ #,##0.0"/>
  </numFmts>
  <fonts count="9">
    <font>
      <sz val="11"/>
      <name val="Carlito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color rgb="FF008000"/>
      <name val="Arial"/>
      <family val="2"/>
    </font>
    <font>
      <b/>
      <sz val="10"/>
      <color rgb="FF000000"/>
      <name val="Arial"/>
      <family val="2"/>
    </font>
    <font>
      <sz val="10"/>
      <color rgb="FF808080"/>
      <name val="Arial"/>
      <family val="2"/>
    </font>
    <font>
      <sz val="10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FFFF00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FFFF00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65" fontId="5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0" fontId="2" fillId="0" borderId="1" xfId="0" applyFont="1" applyBorder="1" applyAlignment="1">
      <alignment wrapText="1"/>
    </xf>
    <xf numFmtId="165" fontId="2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165" fontId="2" fillId="0" borderId="2" xfId="0" applyNumberFormat="1" applyFont="1" applyBorder="1" applyAlignment="1">
      <alignment wrapText="1"/>
    </xf>
    <xf numFmtId="165" fontId="6" fillId="3" borderId="0" xfId="0" applyNumberFormat="1" applyFont="1" applyFill="1" applyAlignment="1">
      <alignment wrapText="1"/>
    </xf>
    <xf numFmtId="0" fontId="2" fillId="0" borderId="3" xfId="0" applyFont="1" applyBorder="1" applyAlignment="1">
      <alignment wrapText="1"/>
    </xf>
    <xf numFmtId="165" fontId="2" fillId="0" borderId="3" xfId="0" applyNumberFormat="1" applyFont="1" applyBorder="1" applyAlignment="1">
      <alignment wrapText="1"/>
    </xf>
    <xf numFmtId="0" fontId="7" fillId="0" borderId="0" xfId="0" applyFont="1" applyAlignment="1">
      <alignment wrapText="1"/>
    </xf>
    <xf numFmtId="165" fontId="7" fillId="0" borderId="0" xfId="0" applyNumberFormat="1" applyFont="1" applyAlignment="1">
      <alignment wrapText="1"/>
    </xf>
    <xf numFmtId="0" fontId="1" fillId="4" borderId="0" xfId="0" applyFont="1" applyFill="1" applyAlignment="1">
      <alignment wrapText="1"/>
    </xf>
    <xf numFmtId="0" fontId="8" fillId="0" borderId="0" xfId="0" applyFont="1" applyAlignment="1">
      <alignment wrapText="1"/>
    </xf>
    <xf numFmtId="166" fontId="8" fillId="0" borderId="0" xfId="0" applyNumberFormat="1" applyFont="1" applyAlignment="1">
      <alignment wrapText="1"/>
    </xf>
    <xf numFmtId="167" fontId="3" fillId="0" borderId="0" xfId="0" applyNumberFormat="1" applyFont="1" applyAlignment="1">
      <alignment wrapText="1"/>
    </xf>
    <xf numFmtId="167" fontId="8" fillId="0" borderId="0" xfId="0" applyNumberFormat="1" applyFont="1" applyAlignment="1">
      <alignment wrapText="1"/>
    </xf>
    <xf numFmtId="168" fontId="8" fillId="0" borderId="0" xfId="0" applyNumberFormat="1" applyFont="1" applyAlignment="1">
      <alignment wrapText="1"/>
    </xf>
    <xf numFmtId="168" fontId="3" fillId="0" borderId="0" xfId="0" applyNumberFormat="1" applyFont="1" applyAlignment="1">
      <alignment wrapText="1"/>
    </xf>
    <xf numFmtId="164" fontId="8" fillId="0" borderId="0" xfId="0" applyNumberFormat="1" applyFont="1" applyAlignment="1">
      <alignment wrapText="1"/>
    </xf>
    <xf numFmtId="167" fontId="5" fillId="0" borderId="0" xfId="0" applyNumberFormat="1" applyFont="1" applyAlignment="1">
      <alignment wrapText="1"/>
    </xf>
    <xf numFmtId="164" fontId="5" fillId="0" borderId="0" xfId="0" applyNumberFormat="1" applyFont="1" applyAlignment="1">
      <alignment wrapText="1"/>
    </xf>
    <xf numFmtId="168" fontId="5" fillId="0" borderId="0" xfId="0" applyNumberFormat="1" applyFont="1" applyAlignment="1">
      <alignment wrapText="1"/>
    </xf>
    <xf numFmtId="167" fontId="2" fillId="0" borderId="0" xfId="0" applyNumberFormat="1" applyFont="1" applyAlignment="1">
      <alignment wrapText="1"/>
    </xf>
    <xf numFmtId="0" fontId="1" fillId="6" borderId="0" xfId="0" applyFont="1" applyFill="1" applyAlignment="1">
      <alignment wrapText="1"/>
    </xf>
    <xf numFmtId="170" fontId="2" fillId="0" borderId="0" xfId="0" applyNumberFormat="1" applyFont="1" applyAlignment="1">
      <alignment wrapText="1"/>
    </xf>
    <xf numFmtId="10" fontId="2" fillId="0" borderId="0" xfId="0" applyNumberFormat="1" applyFont="1" applyAlignment="1">
      <alignment wrapText="1"/>
    </xf>
    <xf numFmtId="169" fontId="2" fillId="0" borderId="0" xfId="0" applyNumberFormat="1" applyFont="1" applyAlignment="1">
      <alignment wrapText="1"/>
    </xf>
    <xf numFmtId="168" fontId="2" fillId="0" borderId="0" xfId="0" applyNumberFormat="1" applyFont="1" applyAlignment="1">
      <alignment wrapText="1"/>
    </xf>
    <xf numFmtId="0" fontId="1" fillId="8" borderId="0" xfId="0" applyFont="1" applyFill="1" applyAlignment="1">
      <alignment wrapText="1"/>
    </xf>
    <xf numFmtId="166" fontId="3" fillId="0" borderId="0" xfId="0" applyNumberFormat="1" applyFont="1" applyAlignment="1">
      <alignment wrapText="1"/>
    </xf>
    <xf numFmtId="171" fontId="2" fillId="0" borderId="0" xfId="0" applyNumberFormat="1" applyFont="1" applyAlignment="1">
      <alignment wrapText="1"/>
    </xf>
    <xf numFmtId="0" fontId="4" fillId="9" borderId="0" xfId="0" applyFont="1" applyFill="1" applyAlignment="1">
      <alignment wrapText="1"/>
    </xf>
    <xf numFmtId="0" fontId="1" fillId="11" borderId="0" xfId="0" applyFont="1" applyFill="1"/>
    <xf numFmtId="0" fontId="1" fillId="11" borderId="0" xfId="0" applyFont="1" applyFill="1" applyAlignment="1">
      <alignment wrapText="1"/>
    </xf>
    <xf numFmtId="0" fontId="4" fillId="12" borderId="0" xfId="0" applyFont="1" applyFill="1" applyAlignment="1">
      <alignment wrapText="1"/>
    </xf>
    <xf numFmtId="165" fontId="4" fillId="12" borderId="0" xfId="0" applyNumberFormat="1" applyFont="1" applyFill="1" applyAlignment="1">
      <alignment wrapText="1"/>
    </xf>
    <xf numFmtId="165" fontId="4" fillId="13" borderId="0" xfId="0" applyNumberFormat="1" applyFont="1" applyFill="1" applyAlignment="1">
      <alignment wrapText="1"/>
    </xf>
    <xf numFmtId="0" fontId="4" fillId="0" borderId="0" xfId="0" applyFont="1" applyAlignment="1">
      <alignment wrapText="1"/>
    </xf>
    <xf numFmtId="0" fontId="1" fillId="14" borderId="0" xfId="0" applyFont="1" applyFill="1" applyAlignment="1">
      <alignment wrapText="1"/>
    </xf>
    <xf numFmtId="10" fontId="3" fillId="0" borderId="0" xfId="0" applyNumberFormat="1" applyFont="1" applyAlignment="1">
      <alignment wrapText="1"/>
    </xf>
    <xf numFmtId="0" fontId="1" fillId="16" borderId="0" xfId="0" applyFont="1" applyFill="1" applyAlignment="1">
      <alignment wrapText="1"/>
    </xf>
    <xf numFmtId="169" fontId="3" fillId="0" borderId="0" xfId="0" applyNumberFormat="1" applyFont="1" applyAlignment="1">
      <alignment wrapText="1"/>
    </xf>
    <xf numFmtId="0" fontId="4" fillId="18" borderId="0" xfId="0" applyFont="1" applyFill="1" applyAlignment="1">
      <alignment wrapText="1"/>
    </xf>
    <xf numFmtId="165" fontId="4" fillId="18" borderId="0" xfId="0" applyNumberFormat="1" applyFont="1" applyFill="1" applyAlignment="1">
      <alignment wrapText="1"/>
    </xf>
    <xf numFmtId="0" fontId="1" fillId="19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4" fillId="7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2" fillId="10" borderId="0" xfId="0" applyFont="1" applyFill="1" applyAlignment="1">
      <alignment wrapText="1"/>
    </xf>
    <xf numFmtId="0" fontId="1" fillId="11" borderId="0" xfId="0" applyFont="1" applyFill="1" applyAlignment="1">
      <alignment wrapText="1"/>
    </xf>
    <xf numFmtId="0" fontId="2" fillId="13" borderId="0" xfId="0" applyFont="1" applyFill="1" applyAlignment="1">
      <alignment wrapText="1"/>
    </xf>
    <xf numFmtId="0" fontId="1" fillId="11" borderId="0" xfId="0" applyFont="1" applyFill="1"/>
    <xf numFmtId="0" fontId="1" fillId="14" borderId="0" xfId="0" applyFont="1" applyFill="1" applyAlignment="1">
      <alignment wrapText="1"/>
    </xf>
    <xf numFmtId="0" fontId="2" fillId="15" borderId="0" xfId="0" applyFont="1" applyFill="1" applyAlignment="1">
      <alignment wrapText="1"/>
    </xf>
    <xf numFmtId="0" fontId="1" fillId="16" borderId="0" xfId="0" applyFont="1" applyFill="1" applyAlignment="1">
      <alignment wrapText="1"/>
    </xf>
    <xf numFmtId="0" fontId="2" fillId="17" borderId="0" xfId="0" applyFont="1" applyFill="1" applyAlignment="1">
      <alignment wrapText="1"/>
    </xf>
    <xf numFmtId="0" fontId="1" fillId="19" borderId="0" xfId="0" applyFont="1" applyFill="1" applyAlignment="1">
      <alignment wrapText="1"/>
    </xf>
    <xf numFmtId="0" fontId="4" fillId="2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t>Caixa acumulado após funding — A × B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T1</c:v>
          </c:tx>
          <c:marker>
            <c:symbol val="none"/>
          </c:marker>
          <c:cat>
            <c:strRef>
              <c:f>Resumo!$A$13:$A$14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Resumo!$B$13:$B$14</c:f>
              <c:numCache>
                <c:formatCode>General</c:formatCode>
                <c:ptCount val="2"/>
                <c:pt idx="0">
                  <c:v>29.483573033707849</c:v>
                </c:pt>
                <c:pt idx="1">
                  <c:v>282.37628335163635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D4E-5647-8485-D93DA5630095}"/>
            </c:ext>
          </c:extLst>
        </c:ser>
        <c:ser>
          <c:idx val="1"/>
          <c:order val="1"/>
          <c:tx>
            <c:v>T2</c:v>
          </c:tx>
          <c:marker>
            <c:symbol val="none"/>
          </c:marker>
          <c:cat>
            <c:strRef>
              <c:f>Resumo!$A$13:$A$14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Resumo!$C$13:$C$14</c:f>
              <c:numCache>
                <c:formatCode>General</c:formatCode>
                <c:ptCount val="2"/>
                <c:pt idx="0">
                  <c:v>25.939477528089874</c:v>
                </c:pt>
                <c:pt idx="1">
                  <c:v>241.63218784601838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D4E-5647-8485-D93DA5630095}"/>
            </c:ext>
          </c:extLst>
        </c:ser>
        <c:ser>
          <c:idx val="2"/>
          <c:order val="2"/>
          <c:tx>
            <c:v>T3</c:v>
          </c:tx>
          <c:marker>
            <c:symbol val="none"/>
          </c:marker>
          <c:cat>
            <c:strRef>
              <c:f>Resumo!$A$13:$A$14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Resumo!$D$13:$D$14</c:f>
              <c:numCache>
                <c:formatCode>General</c:formatCode>
                <c:ptCount val="2"/>
                <c:pt idx="0">
                  <c:v>28.96457303370785</c:v>
                </c:pt>
                <c:pt idx="1">
                  <c:v>207.45728335163636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D4E-5647-8485-D93DA5630095}"/>
            </c:ext>
          </c:extLst>
        </c:ser>
        <c:ser>
          <c:idx val="3"/>
          <c:order val="3"/>
          <c:tx>
            <c:v>T4</c:v>
          </c:tx>
          <c:marker>
            <c:symbol val="none"/>
          </c:marker>
          <c:cat>
            <c:strRef>
              <c:f>Resumo!$A$13:$A$14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Resumo!$E$13:$E$14</c:f>
              <c:numCache>
                <c:formatCode>General</c:formatCode>
                <c:ptCount val="2"/>
                <c:pt idx="0">
                  <c:v>38.376382022471901</c:v>
                </c:pt>
                <c:pt idx="1">
                  <c:v>179.66909234040043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D4E-5647-8485-D93DA5630095}"/>
            </c:ext>
          </c:extLst>
        </c:ser>
        <c:ser>
          <c:idx val="4"/>
          <c:order val="4"/>
          <c:tx>
            <c:v>T5</c:v>
          </c:tx>
          <c:marker>
            <c:symbol val="none"/>
          </c:marker>
          <c:cat>
            <c:strRef>
              <c:f>Resumo!$A$13:$A$14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Resumo!$F$13:$F$14</c:f>
              <c:numCache>
                <c:formatCode>General</c:formatCode>
                <c:ptCount val="2"/>
                <c:pt idx="0">
                  <c:v>16.5</c:v>
                </c:pt>
                <c:pt idx="1">
                  <c:v>126.49271031792853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D4E-5647-8485-D93DA5630095}"/>
            </c:ext>
          </c:extLst>
        </c:ser>
        <c:ser>
          <c:idx val="5"/>
          <c:order val="5"/>
          <c:tx>
            <c:v>T6</c:v>
          </c:tx>
          <c:marker>
            <c:symbol val="none"/>
          </c:marker>
          <c:cat>
            <c:strRef>
              <c:f>Resumo!$A$13:$A$14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Resumo!$G$13:$G$14</c:f>
              <c:numCache>
                <c:formatCode>General</c:formatCode>
                <c:ptCount val="2"/>
                <c:pt idx="0">
                  <c:v>26.470151685393262</c:v>
                </c:pt>
                <c:pt idx="1">
                  <c:v>105.16286200332179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D4E-5647-8485-D93DA5630095}"/>
            </c:ext>
          </c:extLst>
        </c:ser>
        <c:ser>
          <c:idx val="6"/>
          <c:order val="6"/>
          <c:tx>
            <c:v>T7</c:v>
          </c:tx>
          <c:marker>
            <c:symbol val="none"/>
          </c:marker>
          <c:cat>
            <c:strRef>
              <c:f>Resumo!$A$13:$A$14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Resumo!$H$13:$H$14</c:f>
              <c:numCache>
                <c:formatCode>General</c:formatCode>
                <c:ptCount val="2"/>
                <c:pt idx="0">
                  <c:v>46.197855275369761</c:v>
                </c:pt>
                <c:pt idx="1">
                  <c:v>93.590565593298294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D4E-5647-8485-D93DA5630095}"/>
            </c:ext>
          </c:extLst>
        </c:ser>
        <c:ser>
          <c:idx val="7"/>
          <c:order val="7"/>
          <c:tx>
            <c:v>T8</c:v>
          </c:tx>
          <c:marker>
            <c:symbol val="none"/>
          </c:marker>
          <c:cat>
            <c:strRef>
              <c:f>Resumo!$A$13:$A$14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Resumo!$I$13:$I$14</c:f>
              <c:numCache>
                <c:formatCode>General</c:formatCode>
                <c:ptCount val="2"/>
                <c:pt idx="0">
                  <c:v>72.972799095594468</c:v>
                </c:pt>
                <c:pt idx="1">
                  <c:v>89.065509413523003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D4E-5647-8485-D93DA5630095}"/>
            </c:ext>
          </c:extLst>
        </c:ser>
        <c:ser>
          <c:idx val="8"/>
          <c:order val="8"/>
          <c:tx>
            <c:v>T9</c:v>
          </c:tx>
          <c:marker>
            <c:symbol val="none"/>
          </c:marker>
          <c:cat>
            <c:strRef>
              <c:f>Resumo!$A$13:$A$14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Resumo!$J$13:$J$14</c:f>
              <c:numCache>
                <c:formatCode>General</c:formatCode>
                <c:ptCount val="2"/>
                <c:pt idx="0">
                  <c:v>61.607289682071489</c:v>
                </c:pt>
                <c:pt idx="1">
                  <c:v>53.700000000000024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CD4E-5647-8485-D93DA5630095}"/>
            </c:ext>
          </c:extLst>
        </c:ser>
        <c:ser>
          <c:idx val="9"/>
          <c:order val="9"/>
          <c:tx>
            <c:v>T10</c:v>
          </c:tx>
          <c:marker>
            <c:symbol val="none"/>
          </c:marker>
          <c:cat>
            <c:strRef>
              <c:f>Resumo!$A$13:$A$14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Resumo!$K$13:$K$14</c:f>
              <c:numCache>
                <c:formatCode>General</c:formatCode>
                <c:ptCount val="2"/>
                <c:pt idx="0">
                  <c:v>116.12744570854642</c:v>
                </c:pt>
                <c:pt idx="1">
                  <c:v>84.220156026474967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CD4E-5647-8485-D93DA5630095}"/>
            </c:ext>
          </c:extLst>
        </c:ser>
        <c:ser>
          <c:idx val="10"/>
          <c:order val="10"/>
          <c:tx>
            <c:v>T11</c:v>
          </c:tx>
          <c:marker>
            <c:symbol val="none"/>
          </c:marker>
          <c:cat>
            <c:strRef>
              <c:f>Resumo!$A$13:$A$14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Resumo!$L$13:$L$14</c:f>
              <c:numCache>
                <c:formatCode>General</c:formatCode>
                <c:ptCount val="2"/>
                <c:pt idx="0">
                  <c:v>195.38156845109273</c:v>
                </c:pt>
                <c:pt idx="1">
                  <c:v>139.47427876902128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CD4E-5647-8485-D93DA5630095}"/>
            </c:ext>
          </c:extLst>
        </c:ser>
        <c:ser>
          <c:idx val="11"/>
          <c:order val="11"/>
          <c:tx>
            <c:v>T12</c:v>
          </c:tx>
          <c:marker>
            <c:symbol val="none"/>
          </c:marker>
          <c:cat>
            <c:strRef>
              <c:f>Resumo!$A$13:$A$14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Resumo!$M$13:$M$14</c:f>
              <c:numCache>
                <c:formatCode>General</c:formatCode>
                <c:ptCount val="2"/>
                <c:pt idx="0">
                  <c:v>292.50548690602841</c:v>
                </c:pt>
                <c:pt idx="1">
                  <c:v>212.59819722395693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CD4E-5647-8485-D93DA5630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t>Funding requerido — Stress Test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Funding A</c:v>
          </c:tx>
          <c:invertIfNegative val="1"/>
          <c:cat>
            <c:strRef>
              <c:f>Stress_Test!$I$10:$I$12</c:f>
              <c:strCache>
                <c:ptCount val="3"/>
                <c:pt idx="0">
                  <c:v>Pessimista</c:v>
                </c:pt>
                <c:pt idx="1">
                  <c:v>Tendencial</c:v>
                </c:pt>
                <c:pt idx="2">
                  <c:v>Otimista</c:v>
                </c:pt>
              </c:strCache>
            </c:strRef>
          </c:cat>
          <c:val>
            <c:numRef>
              <c:f>Stress_Test!$J$10:$J$12</c:f>
              <c:numCache>
                <c:formatCode>General</c:formatCode>
                <c:ptCount val="3"/>
                <c:pt idx="0">
                  <c:v>356.11498455650673</c:v>
                </c:pt>
                <c:pt idx="1">
                  <c:v>47.757150585375484</c:v>
                </c:pt>
                <c:pt idx="2">
                  <c:v>29.751076189999999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1-9643-AFDD-2145538D411E}"/>
            </c:ext>
          </c:extLst>
        </c:ser>
        <c:ser>
          <c:idx val="1"/>
          <c:order val="1"/>
          <c:tx>
            <c:v>Funding B</c:v>
          </c:tx>
          <c:invertIfNegative val="1"/>
          <c:cat>
            <c:strRef>
              <c:f>Stress_Test!$I$10:$I$12</c:f>
              <c:strCache>
                <c:ptCount val="3"/>
                <c:pt idx="0">
                  <c:v>Pessimista</c:v>
                </c:pt>
                <c:pt idx="1">
                  <c:v>Tendencial</c:v>
                </c:pt>
                <c:pt idx="2">
                  <c:v>Otimista</c:v>
                </c:pt>
              </c:strCache>
            </c:strRef>
          </c:cat>
          <c:val>
            <c:numRef>
              <c:f>Stress_Test!$K$10:$K$12</c:f>
              <c:numCache>
                <c:formatCode>General</c:formatCode>
                <c:ptCount val="3"/>
                <c:pt idx="0">
                  <c:v>804.03498455650674</c:v>
                </c:pt>
                <c:pt idx="1">
                  <c:v>339.71035936479058</c:v>
                </c:pt>
                <c:pt idx="2">
                  <c:v>191.96516621949712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81-9643-AFDD-2145538D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13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>
      <selection sqref="A1:F1"/>
    </sheetView>
  </sheetViews>
  <sheetFormatPr baseColWidth="10" defaultColWidth="8.83203125" defaultRowHeight="15"/>
  <cols>
    <col min="1" max="1" width="28" customWidth="1"/>
    <col min="2" max="2" width="21.5" customWidth="1"/>
    <col min="3" max="3" width="8.5" customWidth="1"/>
    <col min="4" max="4" width="7" customWidth="1"/>
    <col min="5" max="5" width="35.6640625" customWidth="1"/>
    <col min="6" max="6" width="19.1640625" customWidth="1"/>
    <col min="8" max="8" width="33.6640625" customWidth="1"/>
    <col min="9" max="9" width="14.1640625" customWidth="1"/>
    <col min="10" max="10" width="11.1640625" customWidth="1"/>
    <col min="11" max="11" width="13.1640625" customWidth="1"/>
  </cols>
  <sheetData>
    <row r="1" spans="1:13">
      <c r="A1" s="52" t="s">
        <v>0</v>
      </c>
      <c r="B1" s="52"/>
      <c r="C1" s="52"/>
      <c r="D1" s="52"/>
      <c r="E1" s="52"/>
      <c r="F1" s="52"/>
      <c r="G1" s="5"/>
      <c r="H1" s="52" t="s">
        <v>1</v>
      </c>
      <c r="I1" s="52"/>
      <c r="J1" s="52"/>
      <c r="K1" s="52"/>
      <c r="L1" s="5"/>
      <c r="M1" s="5"/>
    </row>
    <row r="2" spans="1:1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29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/>
      <c r="H3" s="4" t="s">
        <v>8</v>
      </c>
      <c r="I3" s="4" t="s">
        <v>9</v>
      </c>
      <c r="J3" s="4" t="s">
        <v>10</v>
      </c>
      <c r="K3" s="4" t="s">
        <v>7</v>
      </c>
      <c r="L3" s="5"/>
      <c r="M3" s="5"/>
    </row>
    <row r="4" spans="1:13" ht="29">
      <c r="A4" s="5" t="s">
        <v>11</v>
      </c>
      <c r="B4" s="2">
        <v>12</v>
      </c>
      <c r="C4" s="5" t="s">
        <v>12</v>
      </c>
      <c r="D4" s="5" t="s">
        <v>13</v>
      </c>
      <c r="E4" s="5" t="s">
        <v>14</v>
      </c>
      <c r="F4" s="5" t="s">
        <v>15</v>
      </c>
      <c r="G4" s="5"/>
      <c r="H4" s="5">
        <v>180000</v>
      </c>
      <c r="I4" s="6">
        <v>0.06</v>
      </c>
      <c r="J4" s="5">
        <v>0</v>
      </c>
      <c r="K4" s="5" t="s">
        <v>16</v>
      </c>
      <c r="L4" s="5"/>
      <c r="M4" s="5"/>
    </row>
    <row r="5" spans="1:13" ht="29">
      <c r="A5" s="5" t="s">
        <v>17</v>
      </c>
      <c r="B5" s="2">
        <v>100</v>
      </c>
      <c r="C5" s="5" t="s">
        <v>18</v>
      </c>
      <c r="D5" s="5" t="s">
        <v>19</v>
      </c>
      <c r="E5" s="5" t="s">
        <v>20</v>
      </c>
      <c r="F5" s="5" t="s">
        <v>21</v>
      </c>
      <c r="G5" s="5"/>
      <c r="H5" s="5">
        <v>360000</v>
      </c>
      <c r="I5" s="6">
        <v>0.112</v>
      </c>
      <c r="J5" s="5">
        <v>9360</v>
      </c>
      <c r="K5" s="5" t="s">
        <v>16</v>
      </c>
      <c r="L5" s="5"/>
      <c r="M5" s="5"/>
    </row>
    <row r="6" spans="1:13" ht="29">
      <c r="A6" s="5" t="s">
        <v>22</v>
      </c>
      <c r="B6" s="3">
        <v>0.03</v>
      </c>
      <c r="C6" s="5" t="s">
        <v>23</v>
      </c>
      <c r="D6" s="5" t="s">
        <v>19</v>
      </c>
      <c r="E6" s="5" t="s">
        <v>24</v>
      </c>
      <c r="F6" s="5" t="s">
        <v>25</v>
      </c>
      <c r="G6" s="5"/>
      <c r="H6" s="5">
        <v>720000</v>
      </c>
      <c r="I6" s="6">
        <v>0.13500000000000001</v>
      </c>
      <c r="J6" s="5">
        <v>17640</v>
      </c>
      <c r="K6" s="5" t="s">
        <v>16</v>
      </c>
      <c r="L6" s="5"/>
      <c r="M6" s="5"/>
    </row>
    <row r="7" spans="1:13" ht="29">
      <c r="A7" s="5" t="s">
        <v>26</v>
      </c>
      <c r="B7" s="3">
        <v>0.01</v>
      </c>
      <c r="C7" s="5" t="s">
        <v>27</v>
      </c>
      <c r="D7" s="5" t="s">
        <v>19</v>
      </c>
      <c r="E7" s="5" t="s">
        <v>24</v>
      </c>
      <c r="F7" s="5" t="s">
        <v>25</v>
      </c>
      <c r="G7" s="5"/>
      <c r="H7" s="5">
        <v>1800000</v>
      </c>
      <c r="I7" s="6">
        <v>0.16</v>
      </c>
      <c r="J7" s="5">
        <v>35640</v>
      </c>
      <c r="K7" s="5" t="s">
        <v>16</v>
      </c>
      <c r="L7" s="5"/>
      <c r="M7" s="5"/>
    </row>
    <row r="8" spans="1:13" ht="29">
      <c r="A8" s="5" t="s">
        <v>28</v>
      </c>
      <c r="B8" s="2">
        <v>16500</v>
      </c>
      <c r="C8" s="5" t="s">
        <v>29</v>
      </c>
      <c r="D8" s="5" t="s">
        <v>19</v>
      </c>
      <c r="E8" s="5" t="s">
        <v>30</v>
      </c>
      <c r="F8" s="5" t="s">
        <v>31</v>
      </c>
      <c r="G8" s="5"/>
      <c r="H8" s="5">
        <v>3600000</v>
      </c>
      <c r="I8" s="6">
        <v>0.21</v>
      </c>
      <c r="J8" s="5">
        <v>125640</v>
      </c>
      <c r="K8" s="5" t="s">
        <v>16</v>
      </c>
      <c r="L8" s="5"/>
      <c r="M8" s="5"/>
    </row>
    <row r="9" spans="1:13" ht="29">
      <c r="A9" s="5" t="s">
        <v>32</v>
      </c>
      <c r="B9" s="2">
        <v>53700</v>
      </c>
      <c r="C9" s="5" t="s">
        <v>29</v>
      </c>
      <c r="D9" s="5" t="s">
        <v>19</v>
      </c>
      <c r="E9" s="5" t="s">
        <v>33</v>
      </c>
      <c r="F9" s="5" t="s">
        <v>31</v>
      </c>
      <c r="G9" s="5"/>
      <c r="H9" s="5">
        <v>4800000</v>
      </c>
      <c r="I9" s="6">
        <v>0.32900000000000001</v>
      </c>
      <c r="J9" s="5">
        <v>648000</v>
      </c>
      <c r="K9" s="5" t="s">
        <v>16</v>
      </c>
      <c r="L9" s="5"/>
      <c r="M9" s="5"/>
    </row>
    <row r="10" spans="1:13">
      <c r="A10" s="5" t="s">
        <v>34</v>
      </c>
      <c r="B10" s="2">
        <v>8000</v>
      </c>
      <c r="C10" s="5" t="s">
        <v>29</v>
      </c>
      <c r="D10" s="5" t="s">
        <v>19</v>
      </c>
      <c r="E10" s="5" t="s">
        <v>35</v>
      </c>
      <c r="F10" s="5" t="s">
        <v>25</v>
      </c>
      <c r="G10" s="5"/>
      <c r="H10" s="5"/>
      <c r="I10" s="5"/>
      <c r="J10" s="5"/>
      <c r="K10" s="5"/>
      <c r="L10" s="5"/>
      <c r="M10" s="5"/>
    </row>
    <row r="11" spans="1:13">
      <c r="A11" s="5" t="s">
        <v>36</v>
      </c>
      <c r="B11" s="2">
        <v>24000</v>
      </c>
      <c r="C11" s="5" t="s">
        <v>29</v>
      </c>
      <c r="D11" s="5" t="s">
        <v>19</v>
      </c>
      <c r="E11" s="5" t="s">
        <v>37</v>
      </c>
      <c r="F11" s="5" t="s">
        <v>25</v>
      </c>
      <c r="G11" s="5"/>
      <c r="H11" s="4" t="s">
        <v>38</v>
      </c>
      <c r="I11" s="4"/>
      <c r="J11" s="4"/>
      <c r="K11" s="4"/>
      <c r="L11" s="5"/>
      <c r="M11" s="5"/>
    </row>
    <row r="12" spans="1:13" ht="169">
      <c r="A12" s="5" t="s">
        <v>39</v>
      </c>
      <c r="B12" s="2">
        <v>48000</v>
      </c>
      <c r="C12" s="5" t="s">
        <v>29</v>
      </c>
      <c r="D12" s="5" t="s">
        <v>19</v>
      </c>
      <c r="E12" s="5" t="s">
        <v>37</v>
      </c>
      <c r="F12" s="5" t="s">
        <v>25</v>
      </c>
      <c r="G12" s="5"/>
      <c r="H12" s="5" t="s">
        <v>40</v>
      </c>
      <c r="I12" s="5" t="s">
        <v>41</v>
      </c>
      <c r="J12" s="5"/>
      <c r="K12" s="5"/>
      <c r="L12" s="5"/>
      <c r="M12" s="5"/>
    </row>
    <row r="13" spans="1:13" ht="57">
      <c r="A13" s="5" t="s">
        <v>42</v>
      </c>
      <c r="B13" s="2">
        <v>66000</v>
      </c>
      <c r="C13" s="5" t="s">
        <v>43</v>
      </c>
      <c r="D13" s="5" t="s">
        <v>19</v>
      </c>
      <c r="E13" s="5" t="s">
        <v>44</v>
      </c>
      <c r="F13" s="5" t="s">
        <v>25</v>
      </c>
      <c r="G13" s="5"/>
      <c r="H13" s="5" t="s">
        <v>45</v>
      </c>
      <c r="I13" s="5" t="s">
        <v>46</v>
      </c>
      <c r="J13" s="5"/>
      <c r="K13" s="5"/>
      <c r="L13" s="5"/>
      <c r="M13" s="5"/>
    </row>
    <row r="14" spans="1:13" ht="71">
      <c r="A14" s="5" t="s">
        <v>47</v>
      </c>
      <c r="B14" s="2">
        <v>198800</v>
      </c>
      <c r="C14" s="5" t="s">
        <v>43</v>
      </c>
      <c r="D14" s="5" t="s">
        <v>19</v>
      </c>
      <c r="E14" s="5" t="s">
        <v>48</v>
      </c>
      <c r="F14" s="5" t="s">
        <v>25</v>
      </c>
      <c r="G14" s="5"/>
      <c r="H14" s="5" t="s">
        <v>49</v>
      </c>
      <c r="I14" s="5" t="s">
        <v>50</v>
      </c>
      <c r="J14" s="5"/>
      <c r="K14" s="5"/>
      <c r="L14" s="5"/>
      <c r="M14" s="5"/>
    </row>
    <row r="15" spans="1:13" ht="29">
      <c r="A15" s="5" t="s">
        <v>51</v>
      </c>
      <c r="B15" s="2">
        <v>381600</v>
      </c>
      <c r="C15" s="5" t="s">
        <v>43</v>
      </c>
      <c r="D15" s="5" t="s">
        <v>19</v>
      </c>
      <c r="E15" s="5" t="s">
        <v>52</v>
      </c>
      <c r="F15" s="5" t="s">
        <v>25</v>
      </c>
      <c r="G15" s="5"/>
      <c r="H15" s="5"/>
      <c r="I15" s="5"/>
      <c r="J15" s="5"/>
      <c r="K15" s="5"/>
      <c r="L15" s="5"/>
      <c r="M15" s="5"/>
    </row>
    <row r="16" spans="1:13">
      <c r="A16" s="5" t="s">
        <v>53</v>
      </c>
      <c r="B16" s="2">
        <v>214800</v>
      </c>
      <c r="C16" s="5" t="s">
        <v>43</v>
      </c>
      <c r="D16" s="5" t="s">
        <v>19</v>
      </c>
      <c r="E16" s="5" t="s">
        <v>54</v>
      </c>
      <c r="F16" s="5" t="s">
        <v>25</v>
      </c>
      <c r="G16" s="5"/>
      <c r="H16" s="5"/>
      <c r="I16" s="5"/>
      <c r="J16" s="5"/>
      <c r="K16" s="5"/>
      <c r="L16" s="5"/>
      <c r="M16" s="5"/>
    </row>
    <row r="17" spans="1:13">
      <c r="A17" s="5" t="s">
        <v>55</v>
      </c>
      <c r="B17" s="2">
        <v>324000</v>
      </c>
      <c r="C17" s="5" t="s">
        <v>43</v>
      </c>
      <c r="D17" s="5" t="s">
        <v>19</v>
      </c>
      <c r="E17" s="5" t="s">
        <v>56</v>
      </c>
      <c r="F17" s="5" t="s">
        <v>25</v>
      </c>
      <c r="G17" s="5"/>
      <c r="H17" s="5"/>
      <c r="I17" s="5"/>
      <c r="J17" s="5"/>
      <c r="K17" s="5"/>
      <c r="L17" s="5"/>
      <c r="M17" s="5"/>
    </row>
    <row r="18" spans="1:13">
      <c r="A18" s="5" t="s">
        <v>57</v>
      </c>
      <c r="B18" s="2">
        <v>477600</v>
      </c>
      <c r="C18" s="5" t="s">
        <v>43</v>
      </c>
      <c r="D18" s="5" t="s">
        <v>19</v>
      </c>
      <c r="E18" s="5" t="s">
        <v>58</v>
      </c>
      <c r="F18" s="5" t="s">
        <v>25</v>
      </c>
      <c r="G18" s="5"/>
      <c r="H18" s="5"/>
      <c r="I18" s="5"/>
      <c r="J18" s="5"/>
      <c r="K18" s="5"/>
      <c r="L18" s="5"/>
      <c r="M18" s="5"/>
    </row>
    <row r="19" spans="1:13" ht="29">
      <c r="A19" s="5" t="s">
        <v>59</v>
      </c>
      <c r="B19" s="2">
        <v>148800</v>
      </c>
      <c r="C19" s="5" t="s">
        <v>29</v>
      </c>
      <c r="D19" s="5" t="s">
        <v>60</v>
      </c>
      <c r="E19" s="5" t="s">
        <v>61</v>
      </c>
      <c r="F19" s="5" t="s">
        <v>31</v>
      </c>
      <c r="G19" s="5"/>
      <c r="H19" s="5"/>
      <c r="I19" s="5"/>
      <c r="J19" s="5"/>
      <c r="K19" s="5"/>
      <c r="L19" s="5"/>
      <c r="M19" s="5"/>
    </row>
    <row r="20" spans="1:13" ht="29">
      <c r="A20" s="5" t="s">
        <v>62</v>
      </c>
      <c r="B20" s="5" t="s">
        <v>63</v>
      </c>
      <c r="C20" s="5" t="s">
        <v>64</v>
      </c>
      <c r="D20" s="5" t="s">
        <v>19</v>
      </c>
      <c r="E20" s="5" t="s">
        <v>65</v>
      </c>
      <c r="F20" s="5" t="s">
        <v>66</v>
      </c>
      <c r="G20" s="5"/>
      <c r="H20" s="5"/>
      <c r="I20" s="5"/>
      <c r="J20" s="5"/>
      <c r="K20" s="5"/>
      <c r="L20" s="5"/>
      <c r="M20" s="5"/>
    </row>
    <row r="21" spans="1:13">
      <c r="A21" s="53" t="s">
        <v>67</v>
      </c>
      <c r="B21" s="53"/>
      <c r="C21" s="53"/>
      <c r="D21" s="53"/>
      <c r="E21" s="53"/>
      <c r="F21" s="53"/>
      <c r="G21" s="5"/>
      <c r="H21" s="5"/>
      <c r="I21" s="5"/>
      <c r="J21" s="5"/>
      <c r="K21" s="5"/>
      <c r="L21" s="5"/>
      <c r="M21" s="5"/>
    </row>
    <row r="22" spans="1:1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</sheetData>
  <mergeCells count="3">
    <mergeCell ref="A1:F1"/>
    <mergeCell ref="A21:F21"/>
    <mergeCell ref="H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"/>
  <sheetViews>
    <sheetView workbookViewId="0"/>
  </sheetViews>
  <sheetFormatPr baseColWidth="10" defaultColWidth="8.83203125" defaultRowHeight="15"/>
  <cols>
    <col min="1" max="1" width="28" customWidth="1"/>
    <col min="2" max="2" width="13" customWidth="1"/>
    <col min="3" max="3" width="7" customWidth="1"/>
    <col min="4" max="4" width="10.1640625" customWidth="1"/>
    <col min="5" max="9" width="3.6640625" customWidth="1"/>
    <col min="10" max="13" width="4.6640625" customWidth="1"/>
  </cols>
  <sheetData>
    <row r="1" spans="1:13">
      <c r="A1" s="52" t="s">
        <v>68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1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>
      <c r="A3" s="4" t="s">
        <v>69</v>
      </c>
      <c r="B3" s="4" t="s">
        <v>70</v>
      </c>
      <c r="C3" s="4" t="s">
        <v>71</v>
      </c>
      <c r="D3" s="4" t="s">
        <v>72</v>
      </c>
      <c r="E3" s="4" t="s">
        <v>73</v>
      </c>
      <c r="F3" s="4" t="s">
        <v>74</v>
      </c>
      <c r="G3" s="4" t="s">
        <v>75</v>
      </c>
      <c r="H3" s="4" t="s">
        <v>76</v>
      </c>
      <c r="I3" s="4" t="s">
        <v>77</v>
      </c>
      <c r="J3" s="4" t="s">
        <v>78</v>
      </c>
      <c r="K3" s="4" t="s">
        <v>79</v>
      </c>
      <c r="L3" s="4" t="s">
        <v>80</v>
      </c>
      <c r="M3" s="4" t="s">
        <v>81</v>
      </c>
    </row>
    <row r="4" spans="1:13">
      <c r="A4" s="5" t="s">
        <v>82</v>
      </c>
      <c r="B4" s="2">
        <v>7.1</v>
      </c>
      <c r="C4" s="2">
        <v>14.2</v>
      </c>
      <c r="D4" s="2">
        <v>21.3</v>
      </c>
      <c r="E4" s="2">
        <v>28.4</v>
      </c>
      <c r="F4" s="2">
        <v>56.8</v>
      </c>
      <c r="G4" s="2">
        <v>65.3</v>
      </c>
      <c r="H4" s="2">
        <v>76.7</v>
      </c>
      <c r="I4" s="2">
        <v>85.2</v>
      </c>
      <c r="J4" s="2">
        <v>148.80000000000001</v>
      </c>
      <c r="K4" s="2">
        <v>171.1</v>
      </c>
      <c r="L4" s="2">
        <v>200.9</v>
      </c>
      <c r="M4" s="2">
        <v>223.2</v>
      </c>
    </row>
    <row r="5" spans="1:1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29">
      <c r="A6" s="4" t="s">
        <v>83</v>
      </c>
      <c r="B6" s="4" t="s">
        <v>84</v>
      </c>
      <c r="C6" s="4" t="s">
        <v>85</v>
      </c>
      <c r="D6" s="4" t="s">
        <v>86</v>
      </c>
      <c r="E6" s="5"/>
      <c r="F6" s="5"/>
      <c r="G6" s="5"/>
      <c r="H6" s="5"/>
      <c r="I6" s="5"/>
      <c r="J6" s="5"/>
      <c r="K6" s="5"/>
      <c r="L6" s="5"/>
      <c r="M6" s="5"/>
    </row>
    <row r="7" spans="1:13" ht="29">
      <c r="A7" s="5" t="s">
        <v>87</v>
      </c>
      <c r="B7" s="5">
        <v>71</v>
      </c>
      <c r="C7" s="5" t="s">
        <v>88</v>
      </c>
      <c r="D7" s="5" t="s">
        <v>21</v>
      </c>
      <c r="E7" s="5"/>
      <c r="F7" s="5"/>
      <c r="G7" s="5"/>
      <c r="H7" s="5"/>
      <c r="I7" s="5"/>
      <c r="J7" s="5"/>
      <c r="K7" s="5"/>
      <c r="L7" s="5"/>
      <c r="M7" s="5"/>
    </row>
    <row r="8" spans="1:13" ht="29">
      <c r="A8" s="5" t="s">
        <v>89</v>
      </c>
      <c r="B8" s="5">
        <v>284</v>
      </c>
      <c r="C8" s="5" t="s">
        <v>88</v>
      </c>
      <c r="D8" s="5" t="s">
        <v>21</v>
      </c>
      <c r="E8" s="5"/>
      <c r="F8" s="5"/>
      <c r="G8" s="5"/>
      <c r="H8" s="5"/>
      <c r="I8" s="5"/>
      <c r="J8" s="5"/>
      <c r="K8" s="5"/>
      <c r="L8" s="5"/>
      <c r="M8" s="5"/>
    </row>
    <row r="9" spans="1:13" ht="29">
      <c r="A9" s="5" t="s">
        <v>90</v>
      </c>
      <c r="B9" s="5">
        <v>744</v>
      </c>
      <c r="C9" s="5" t="s">
        <v>88</v>
      </c>
      <c r="D9" s="5" t="s">
        <v>21</v>
      </c>
      <c r="E9" s="5"/>
      <c r="F9" s="5"/>
      <c r="G9" s="5"/>
      <c r="H9" s="5"/>
      <c r="I9" s="5"/>
      <c r="J9" s="5"/>
      <c r="K9" s="5"/>
      <c r="L9" s="5"/>
      <c r="M9" s="5"/>
    </row>
    <row r="10" spans="1:1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>
      <c r="A11" s="54" t="s">
        <v>91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</row>
    <row r="12" spans="1:1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</sheetData>
  <mergeCells count="2">
    <mergeCell ref="A1:M1"/>
    <mergeCell ref="A11:M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workbookViewId="0"/>
  </sheetViews>
  <sheetFormatPr baseColWidth="10" defaultColWidth="8.83203125" defaultRowHeight="15"/>
  <cols>
    <col min="1" max="1" width="28" customWidth="1"/>
    <col min="2" max="2" width="4.83203125" customWidth="1"/>
    <col min="3" max="5" width="4" customWidth="1"/>
    <col min="6" max="13" width="4.83203125" customWidth="1"/>
  </cols>
  <sheetData>
    <row r="1" spans="1:13">
      <c r="A1" s="52" t="s">
        <v>92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1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>
      <c r="A3" s="4" t="s">
        <v>93</v>
      </c>
      <c r="B3" s="4" t="s">
        <v>70</v>
      </c>
      <c r="C3" s="4" t="s">
        <v>71</v>
      </c>
      <c r="D3" s="4" t="s">
        <v>72</v>
      </c>
      <c r="E3" s="4" t="s">
        <v>73</v>
      </c>
      <c r="F3" s="4" t="s">
        <v>74</v>
      </c>
      <c r="G3" s="4" t="s">
        <v>75</v>
      </c>
      <c r="H3" s="4" t="s">
        <v>76</v>
      </c>
      <c r="I3" s="4" t="s">
        <v>77</v>
      </c>
      <c r="J3" s="4" t="s">
        <v>78</v>
      </c>
      <c r="K3" s="4" t="s">
        <v>79</v>
      </c>
      <c r="L3" s="4" t="s">
        <v>80</v>
      </c>
      <c r="M3" s="4" t="s">
        <v>81</v>
      </c>
    </row>
    <row r="4" spans="1:13">
      <c r="A4" s="5" t="s">
        <v>94</v>
      </c>
      <c r="B4" s="7">
        <f>Receita_v2!B30/1000</f>
        <v>7.1797752808988768</v>
      </c>
      <c r="C4" s="7">
        <f>Receita_v2!C30/1000</f>
        <v>14.160112359550563</v>
      </c>
      <c r="D4" s="7">
        <f>Receita_v2!D30/1000</f>
        <v>21.339887640449437</v>
      </c>
      <c r="E4" s="7">
        <f>Receita_v2!E30/1000</f>
        <v>28.320224719101127</v>
      </c>
      <c r="F4" s="7">
        <f>Receita_v2!F30/1000</f>
        <v>56.640449438202253</v>
      </c>
      <c r="G4" s="7">
        <f>Receita_v2!G30/1000</f>
        <v>65.216292134831463</v>
      </c>
      <c r="H4" s="7">
        <f>Receita_v2!H30/1000</f>
        <v>76.783707865168537</v>
      </c>
      <c r="I4" s="7">
        <f>Receita_v2!I30/1000</f>
        <v>85.359550561797747</v>
      </c>
      <c r="J4" s="7">
        <f>Receita_v2!J30/1000</f>
        <v>148.87982832618025</v>
      </c>
      <c r="K4" s="7">
        <f>Receita_v2!K30/1000</f>
        <v>171.0321888412017</v>
      </c>
      <c r="L4" s="7">
        <f>Receita_v2!L30/1000</f>
        <v>200.9678111587983</v>
      </c>
      <c r="M4" s="7">
        <f>Receita_v2!M30/1000</f>
        <v>223.12017167381978</v>
      </c>
    </row>
    <row r="5" spans="1:13">
      <c r="A5" s="5" t="s">
        <v>95</v>
      </c>
      <c r="B5" s="8">
        <f>-Receita_v2!B27*Premissas!$B$6/1000</f>
        <v>-0.108</v>
      </c>
      <c r="C5" s="8">
        <f>-Receita_v2!C27*Premissas!$B$6/1000</f>
        <v>-0.21299999999999999</v>
      </c>
      <c r="D5" s="8">
        <f>-Receita_v2!D27*Premissas!$B$6/1000</f>
        <v>-0.32100000000000001</v>
      </c>
      <c r="E5" s="8">
        <f>-Receita_v2!E27*Premissas!$B$6/1000</f>
        <v>-0.42599999999999999</v>
      </c>
      <c r="F5" s="8">
        <f>-Receita_v2!F27*Premissas!$B$6/1000</f>
        <v>-0.85199999999999998</v>
      </c>
      <c r="G5" s="8">
        <f>-Receita_v2!G27*Premissas!$B$6/1000</f>
        <v>-0.98099999999999998</v>
      </c>
      <c r="H5" s="8">
        <f>-Receita_v2!H27*Premissas!$B$6/1000</f>
        <v>-1.155</v>
      </c>
      <c r="I5" s="8">
        <f>-Receita_v2!I27*Premissas!$B$6/1000</f>
        <v>-1.284</v>
      </c>
      <c r="J5" s="8">
        <f>-Receita_v2!J27*Premissas!$B$6/1000</f>
        <v>-2.238</v>
      </c>
      <c r="K5" s="8">
        <f>-Receita_v2!K27*Premissas!$B$6/1000</f>
        <v>-2.5710000000000002</v>
      </c>
      <c r="L5" s="8">
        <f>-Receita_v2!L27*Premissas!$B$6/1000</f>
        <v>-3.0209999999999999</v>
      </c>
      <c r="M5" s="8">
        <f>-Receita_v2!M27*Premissas!$B$6/1000</f>
        <v>-3.3540000000000001</v>
      </c>
    </row>
    <row r="6" spans="1:13">
      <c r="A6" s="5" t="s">
        <v>26</v>
      </c>
      <c r="B6" s="8">
        <f>-B4*Premissas!$B$7</f>
        <v>-7.1797752808988771E-2</v>
      </c>
      <c r="C6" s="8">
        <f>-C4*Premissas!$B$7</f>
        <v>-0.14160112359550564</v>
      </c>
      <c r="D6" s="8">
        <f>-D4*Premissas!$B$7</f>
        <v>-0.21339887640449437</v>
      </c>
      <c r="E6" s="8">
        <f>-E4*Premissas!$B$7</f>
        <v>-0.28320224719101128</v>
      </c>
      <c r="F6" s="8">
        <f>-F4*Premissas!$B$7</f>
        <v>-0.56640449438202256</v>
      </c>
      <c r="G6" s="8">
        <f>-G4*Premissas!$B$7</f>
        <v>-0.65216292134831466</v>
      </c>
      <c r="H6" s="8">
        <f>-H4*Premissas!$B$7</f>
        <v>-0.76783707865168538</v>
      </c>
      <c r="I6" s="8">
        <f>-I4*Premissas!$B$7</f>
        <v>-0.85359550561797748</v>
      </c>
      <c r="J6" s="8">
        <f>-J4*Premissas!$B$7</f>
        <v>-1.4887982832618025</v>
      </c>
      <c r="K6" s="8">
        <f>-K4*Premissas!$B$7</f>
        <v>-1.710321888412017</v>
      </c>
      <c r="L6" s="8">
        <f>-L4*Premissas!$B$7</f>
        <v>-2.0096781115879829</v>
      </c>
      <c r="M6" s="8">
        <f>-M4*Premissas!$B$7</f>
        <v>-2.2312017167381977</v>
      </c>
    </row>
    <row r="7" spans="1:13">
      <c r="A7" s="5" t="s">
        <v>96</v>
      </c>
      <c r="B7" s="8">
        <f>-Premissas!$B$13/4/1000</f>
        <v>-16.5</v>
      </c>
      <c r="C7" s="8">
        <f>-Premissas!$B$13/4/1000</f>
        <v>-16.5</v>
      </c>
      <c r="D7" s="8">
        <f>-Premissas!$B$13/4/1000</f>
        <v>-16.5</v>
      </c>
      <c r="E7" s="8">
        <f>-Premissas!$B$13/4/1000</f>
        <v>-16.5</v>
      </c>
      <c r="F7" s="8">
        <f>-Premissas!$B$14/4/1000</f>
        <v>-49.7</v>
      </c>
      <c r="G7" s="8">
        <f>-Premissas!$B$14/4/1000</f>
        <v>-49.7</v>
      </c>
      <c r="H7" s="8">
        <f>-Premissas!$B$14/4/1000</f>
        <v>-49.7</v>
      </c>
      <c r="I7" s="8">
        <f>-Premissas!$B$14/4/1000</f>
        <v>-49.7</v>
      </c>
      <c r="J7" s="8">
        <f>-Premissas!$B$15/4/1000</f>
        <v>-95.4</v>
      </c>
      <c r="K7" s="8">
        <f>-Premissas!$B$15/4/1000</f>
        <v>-95.4</v>
      </c>
      <c r="L7" s="8">
        <f>-Premissas!$B$15/4/1000</f>
        <v>-95.4</v>
      </c>
      <c r="M7" s="8">
        <f>-Premissas!$B$15/4/1000</f>
        <v>-95.4</v>
      </c>
    </row>
    <row r="8" spans="1:13">
      <c r="A8" s="5" t="s">
        <v>97</v>
      </c>
      <c r="B8" s="8">
        <f>-Tributacao_v3!B9/1000</f>
        <v>-0.4307865168539326</v>
      </c>
      <c r="C8" s="8">
        <f>-Tributacao_v3!C9/1000</f>
        <v>-0.84960674157303384</v>
      </c>
      <c r="D8" s="8">
        <f>-Tributacao_v3!D9/1000</f>
        <v>-1.2803932584269662</v>
      </c>
      <c r="E8" s="8">
        <f>-Tributacao_v3!E9/1000</f>
        <v>-1.6992134831460677</v>
      </c>
      <c r="F8" s="8">
        <f>-Tributacao_v3!F9/1000</f>
        <v>-3.3984269662921354</v>
      </c>
      <c r="G8" s="8">
        <f>-Tributacao_v3!G9/1000</f>
        <v>-3.9129775280898875</v>
      </c>
      <c r="H8" s="8">
        <f>-Tributacao_v3!H9/1000</f>
        <v>-5.4331671965403521</v>
      </c>
      <c r="I8" s="8">
        <f>-Tributacao_v3!I9/1000</f>
        <v>-6.7470112359550551</v>
      </c>
      <c r="J8" s="8">
        <f>-Tributacao_v3!J9/1000</f>
        <v>-13.118539456441402</v>
      </c>
      <c r="K8" s="8">
        <f>-Tributacao_v3!K9/1000</f>
        <v>-16.830710926314751</v>
      </c>
      <c r="L8" s="8">
        <f>-Tributacao_v3!L9/1000</f>
        <v>-21.283010304664021</v>
      </c>
      <c r="M8" s="8">
        <f>-Tributacao_v3!M9/1000</f>
        <v>-25.011051502145925</v>
      </c>
    </row>
    <row r="9" spans="1:13">
      <c r="A9" s="9" t="s">
        <v>98</v>
      </c>
      <c r="B9" s="10">
        <f t="shared" ref="B9:M9" si="0">SUM(B4:B8)</f>
        <v>-9.9308089887640438</v>
      </c>
      <c r="C9" s="10">
        <f t="shared" si="0"/>
        <v>-3.5440955056179746</v>
      </c>
      <c r="D9" s="10">
        <f t="shared" si="0"/>
        <v>3.0250955056179754</v>
      </c>
      <c r="E9" s="10">
        <f t="shared" si="0"/>
        <v>9.4118089887640508</v>
      </c>
      <c r="F9" s="10">
        <f t="shared" si="0"/>
        <v>2.1236179775280983</v>
      </c>
      <c r="G9" s="10">
        <f t="shared" si="0"/>
        <v>9.9701516853932635</v>
      </c>
      <c r="H9" s="10">
        <f t="shared" si="0"/>
        <v>19.7277035899765</v>
      </c>
      <c r="I9" s="10">
        <f t="shared" si="0"/>
        <v>26.774943820224706</v>
      </c>
      <c r="J9" s="10">
        <f t="shared" si="0"/>
        <v>36.634490586477021</v>
      </c>
      <c r="K9" s="10">
        <f t="shared" si="0"/>
        <v>54.520156026474936</v>
      </c>
      <c r="L9" s="10">
        <f t="shared" si="0"/>
        <v>79.254122742546301</v>
      </c>
      <c r="M9" s="10">
        <f t="shared" si="0"/>
        <v>97.123918454935648</v>
      </c>
    </row>
    <row r="10" spans="1:13">
      <c r="A10" s="5" t="s">
        <v>99</v>
      </c>
      <c r="B10" s="8">
        <f>-Premissas!$B$10/1000</f>
        <v>-8</v>
      </c>
      <c r="C10" s="8">
        <v>0</v>
      </c>
      <c r="D10" s="8">
        <v>0</v>
      </c>
      <c r="E10" s="8">
        <v>0</v>
      </c>
      <c r="F10" s="8">
        <f>-Premissas!$B$11/1000</f>
        <v>-24</v>
      </c>
      <c r="G10" s="8">
        <v>0</v>
      </c>
      <c r="H10" s="8">
        <v>0</v>
      </c>
      <c r="I10" s="8">
        <v>0</v>
      </c>
      <c r="J10" s="8">
        <f>-Premissas!$B$12/1000</f>
        <v>-48</v>
      </c>
      <c r="K10" s="8">
        <v>0</v>
      </c>
      <c r="L10" s="8">
        <v>0</v>
      </c>
      <c r="M10" s="8">
        <v>0</v>
      </c>
    </row>
    <row r="11" spans="1:13">
      <c r="A11" s="11" t="s">
        <v>100</v>
      </c>
      <c r="B11" s="12">
        <f t="shared" ref="B11:M11" si="1">SUM(B9:B10)</f>
        <v>-17.930808988764042</v>
      </c>
      <c r="C11" s="12">
        <f t="shared" si="1"/>
        <v>-3.5440955056179746</v>
      </c>
      <c r="D11" s="12">
        <f t="shared" si="1"/>
        <v>3.0250955056179754</v>
      </c>
      <c r="E11" s="12">
        <f t="shared" si="1"/>
        <v>9.4118089887640508</v>
      </c>
      <c r="F11" s="12">
        <f t="shared" si="1"/>
        <v>-21.876382022471901</v>
      </c>
      <c r="G11" s="12">
        <f t="shared" si="1"/>
        <v>9.9701516853932635</v>
      </c>
      <c r="H11" s="12">
        <f t="shared" si="1"/>
        <v>19.7277035899765</v>
      </c>
      <c r="I11" s="12">
        <f t="shared" si="1"/>
        <v>26.774943820224706</v>
      </c>
      <c r="J11" s="12">
        <f t="shared" si="1"/>
        <v>-11.365509413522979</v>
      </c>
      <c r="K11" s="12">
        <f t="shared" si="1"/>
        <v>54.520156026474936</v>
      </c>
      <c r="L11" s="12">
        <f t="shared" si="1"/>
        <v>79.254122742546301</v>
      </c>
      <c r="M11" s="12">
        <f t="shared" si="1"/>
        <v>97.123918454935648</v>
      </c>
    </row>
    <row r="12" spans="1:13">
      <c r="A12" s="5" t="s">
        <v>101</v>
      </c>
      <c r="B12" s="13">
        <f>-MIN(0,MIN(B17:M17))+Premissas!$B$8/1000</f>
        <v>47.414382022471891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</row>
    <row r="13" spans="1:13">
      <c r="A13" s="5" t="s">
        <v>102</v>
      </c>
      <c r="B13" s="8">
        <f t="shared" ref="B13:M13" si="2">B11+B12</f>
        <v>29.483573033707849</v>
      </c>
      <c r="C13" s="8">
        <f t="shared" si="2"/>
        <v>-3.5440955056179746</v>
      </c>
      <c r="D13" s="8">
        <f t="shared" si="2"/>
        <v>3.0250955056179754</v>
      </c>
      <c r="E13" s="8">
        <f t="shared" si="2"/>
        <v>9.4118089887640508</v>
      </c>
      <c r="F13" s="8">
        <f t="shared" si="2"/>
        <v>-21.876382022471901</v>
      </c>
      <c r="G13" s="8">
        <f t="shared" si="2"/>
        <v>9.9701516853932635</v>
      </c>
      <c r="H13" s="8">
        <f t="shared" si="2"/>
        <v>19.7277035899765</v>
      </c>
      <c r="I13" s="8">
        <f t="shared" si="2"/>
        <v>26.774943820224706</v>
      </c>
      <c r="J13" s="8">
        <f t="shared" si="2"/>
        <v>-11.365509413522979</v>
      </c>
      <c r="K13" s="8">
        <f t="shared" si="2"/>
        <v>54.520156026474936</v>
      </c>
      <c r="L13" s="8">
        <f t="shared" si="2"/>
        <v>79.254122742546301</v>
      </c>
      <c r="M13" s="8">
        <f t="shared" si="2"/>
        <v>97.123918454935648</v>
      </c>
    </row>
    <row r="14" spans="1:13">
      <c r="A14" s="14" t="s">
        <v>103</v>
      </c>
      <c r="B14" s="15">
        <f>B13</f>
        <v>29.483573033707849</v>
      </c>
      <c r="C14" s="15">
        <f t="shared" ref="C14:M14" si="3">B14+C13</f>
        <v>25.939477528089874</v>
      </c>
      <c r="D14" s="15">
        <f t="shared" si="3"/>
        <v>28.96457303370785</v>
      </c>
      <c r="E14" s="15">
        <f t="shared" si="3"/>
        <v>38.376382022471901</v>
      </c>
      <c r="F14" s="15">
        <f t="shared" si="3"/>
        <v>16.5</v>
      </c>
      <c r="G14" s="15">
        <f t="shared" si="3"/>
        <v>26.470151685393262</v>
      </c>
      <c r="H14" s="15">
        <f t="shared" si="3"/>
        <v>46.197855275369761</v>
      </c>
      <c r="I14" s="15">
        <f t="shared" si="3"/>
        <v>72.972799095594468</v>
      </c>
      <c r="J14" s="15">
        <f t="shared" si="3"/>
        <v>61.607289682071489</v>
      </c>
      <c r="K14" s="15">
        <f t="shared" si="3"/>
        <v>116.12744570854642</v>
      </c>
      <c r="L14" s="15">
        <f t="shared" si="3"/>
        <v>195.38156845109273</v>
      </c>
      <c r="M14" s="15">
        <f t="shared" si="3"/>
        <v>292.50548690602841</v>
      </c>
    </row>
    <row r="15" spans="1:13">
      <c r="A15" s="5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>
      <c r="A16" s="5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>
      <c r="A17" s="16" t="s">
        <v>104</v>
      </c>
      <c r="B17" s="17">
        <f>B11</f>
        <v>-17.930808988764042</v>
      </c>
      <c r="C17" s="17">
        <f t="shared" ref="C17:M17" si="4">B17+C11</f>
        <v>-21.474904494382017</v>
      </c>
      <c r="D17" s="17">
        <f t="shared" si="4"/>
        <v>-18.44980898876404</v>
      </c>
      <c r="E17" s="17">
        <f t="shared" si="4"/>
        <v>-9.0379999999999896</v>
      </c>
      <c r="F17" s="17">
        <f t="shared" si="4"/>
        <v>-30.914382022471891</v>
      </c>
      <c r="G17" s="17">
        <f t="shared" si="4"/>
        <v>-20.944230337078629</v>
      </c>
      <c r="H17" s="17">
        <f t="shared" si="4"/>
        <v>-1.2165267471021295</v>
      </c>
      <c r="I17" s="17">
        <f t="shared" si="4"/>
        <v>25.558417073122577</v>
      </c>
      <c r="J17" s="17">
        <f t="shared" si="4"/>
        <v>14.192907659599598</v>
      </c>
      <c r="K17" s="17">
        <f t="shared" si="4"/>
        <v>68.713063686074534</v>
      </c>
      <c r="L17" s="17">
        <f t="shared" si="4"/>
        <v>147.96718642862083</v>
      </c>
      <c r="M17" s="17">
        <f t="shared" si="4"/>
        <v>245.09110488355648</v>
      </c>
    </row>
    <row r="18" spans="1:1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>
      <c r="A19" s="55" t="s">
        <v>105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</row>
    <row r="20" spans="1:13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</row>
    <row r="21" spans="1:13">
      <c r="A21" s="56" t="s">
        <v>106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</row>
    <row r="22" spans="1:13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</row>
    <row r="23" spans="1:1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</sheetData>
  <mergeCells count="3">
    <mergeCell ref="A1:M1"/>
    <mergeCell ref="A19:M20"/>
    <mergeCell ref="A21:M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"/>
  <sheetViews>
    <sheetView workbookViewId="0"/>
  </sheetViews>
  <sheetFormatPr baseColWidth="10" defaultColWidth="8.83203125" defaultRowHeight="15"/>
  <cols>
    <col min="1" max="1" width="28" customWidth="1"/>
    <col min="2" max="3" width="4.83203125" customWidth="1"/>
    <col min="4" max="11" width="5.83203125" customWidth="1"/>
    <col min="12" max="13" width="4.83203125" customWidth="1"/>
  </cols>
  <sheetData>
    <row r="1" spans="1:13">
      <c r="A1" s="52" t="s">
        <v>107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1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>
      <c r="A3" s="4" t="s">
        <v>93</v>
      </c>
      <c r="B3" s="4" t="s">
        <v>70</v>
      </c>
      <c r="C3" s="4" t="s">
        <v>71</v>
      </c>
      <c r="D3" s="4" t="s">
        <v>72</v>
      </c>
      <c r="E3" s="4" t="s">
        <v>73</v>
      </c>
      <c r="F3" s="4" t="s">
        <v>74</v>
      </c>
      <c r="G3" s="4" t="s">
        <v>75</v>
      </c>
      <c r="H3" s="4" t="s">
        <v>76</v>
      </c>
      <c r="I3" s="4" t="s">
        <v>77</v>
      </c>
      <c r="J3" s="4" t="s">
        <v>78</v>
      </c>
      <c r="K3" s="4" t="s">
        <v>79</v>
      </c>
      <c r="L3" s="4" t="s">
        <v>80</v>
      </c>
      <c r="M3" s="4" t="s">
        <v>81</v>
      </c>
    </row>
    <row r="4" spans="1:13">
      <c r="A4" s="5" t="s">
        <v>94</v>
      </c>
      <c r="B4" s="7">
        <f>Receita_v2!B30/1000</f>
        <v>7.1797752808988768</v>
      </c>
      <c r="C4" s="7">
        <f>Receita_v2!C30/1000</f>
        <v>14.160112359550563</v>
      </c>
      <c r="D4" s="7">
        <f>Receita_v2!D30/1000</f>
        <v>21.339887640449437</v>
      </c>
      <c r="E4" s="7">
        <f>Receita_v2!E30/1000</f>
        <v>28.320224719101127</v>
      </c>
      <c r="F4" s="7">
        <f>Receita_v2!F30/1000</f>
        <v>56.640449438202253</v>
      </c>
      <c r="G4" s="7">
        <f>Receita_v2!G30/1000</f>
        <v>65.216292134831463</v>
      </c>
      <c r="H4" s="7">
        <f>Receita_v2!H30/1000</f>
        <v>76.783707865168537</v>
      </c>
      <c r="I4" s="7">
        <f>Receita_v2!I30/1000</f>
        <v>85.359550561797747</v>
      </c>
      <c r="J4" s="7">
        <f>Receita_v2!J30/1000</f>
        <v>148.87982832618025</v>
      </c>
      <c r="K4" s="7">
        <f>Receita_v2!K30/1000</f>
        <v>171.0321888412017</v>
      </c>
      <c r="L4" s="7">
        <f>Receita_v2!L30/1000</f>
        <v>200.9678111587983</v>
      </c>
      <c r="M4" s="7">
        <f>Receita_v2!M30/1000</f>
        <v>223.12017167381978</v>
      </c>
    </row>
    <row r="5" spans="1:13">
      <c r="A5" s="5" t="s">
        <v>95</v>
      </c>
      <c r="B5" s="8">
        <f>-Receita_v2!B27*Premissas!$B$6/1000</f>
        <v>-0.108</v>
      </c>
      <c r="C5" s="8">
        <f>-Receita_v2!C27*Premissas!$B$6/1000</f>
        <v>-0.21299999999999999</v>
      </c>
      <c r="D5" s="8">
        <f>-Receita_v2!D27*Premissas!$B$6/1000</f>
        <v>-0.32100000000000001</v>
      </c>
      <c r="E5" s="8">
        <f>-Receita_v2!E27*Premissas!$B$6/1000</f>
        <v>-0.42599999999999999</v>
      </c>
      <c r="F5" s="8">
        <f>-Receita_v2!F27*Premissas!$B$6/1000</f>
        <v>-0.85199999999999998</v>
      </c>
      <c r="G5" s="8">
        <f>-Receita_v2!G27*Premissas!$B$6/1000</f>
        <v>-0.98099999999999998</v>
      </c>
      <c r="H5" s="8">
        <f>-Receita_v2!H27*Premissas!$B$6/1000</f>
        <v>-1.155</v>
      </c>
      <c r="I5" s="8">
        <f>-Receita_v2!I27*Premissas!$B$6/1000</f>
        <v>-1.284</v>
      </c>
      <c r="J5" s="8">
        <f>-Receita_v2!J27*Premissas!$B$6/1000</f>
        <v>-2.238</v>
      </c>
      <c r="K5" s="8">
        <f>-Receita_v2!K27*Premissas!$B$6/1000</f>
        <v>-2.5710000000000002</v>
      </c>
      <c r="L5" s="8">
        <f>-Receita_v2!L27*Premissas!$B$6/1000</f>
        <v>-3.0209999999999999</v>
      </c>
      <c r="M5" s="8">
        <f>-Receita_v2!M27*Premissas!$B$6/1000</f>
        <v>-3.3540000000000001</v>
      </c>
    </row>
    <row r="6" spans="1:13">
      <c r="A6" s="5" t="s">
        <v>26</v>
      </c>
      <c r="B6" s="8">
        <f>-B4*Premissas!$B$7</f>
        <v>-7.1797752808988771E-2</v>
      </c>
      <c r="C6" s="8">
        <f>-C4*Premissas!$B$7</f>
        <v>-0.14160112359550564</v>
      </c>
      <c r="D6" s="8">
        <f>-D4*Premissas!$B$7</f>
        <v>-0.21339887640449437</v>
      </c>
      <c r="E6" s="8">
        <f>-E4*Premissas!$B$7</f>
        <v>-0.28320224719101128</v>
      </c>
      <c r="F6" s="8">
        <f>-F4*Premissas!$B$7</f>
        <v>-0.56640449438202256</v>
      </c>
      <c r="G6" s="8">
        <f>-G4*Premissas!$B$7</f>
        <v>-0.65216292134831466</v>
      </c>
      <c r="H6" s="8">
        <f>-H4*Premissas!$B$7</f>
        <v>-0.76783707865168538</v>
      </c>
      <c r="I6" s="8">
        <f>-I4*Premissas!$B$7</f>
        <v>-0.85359550561797748</v>
      </c>
      <c r="J6" s="8">
        <f>-J4*Premissas!$B$7</f>
        <v>-1.4887982832618025</v>
      </c>
      <c r="K6" s="8">
        <f>-K4*Premissas!$B$7</f>
        <v>-1.710321888412017</v>
      </c>
      <c r="L6" s="8">
        <f>-L4*Premissas!$B$7</f>
        <v>-2.0096781115879829</v>
      </c>
      <c r="M6" s="8">
        <f>-M4*Premissas!$B$7</f>
        <v>-2.2312017167381977</v>
      </c>
    </row>
    <row r="7" spans="1:13">
      <c r="A7" s="5" t="s">
        <v>96</v>
      </c>
      <c r="B7" s="8">
        <f>-Premissas!$B$16/4/1000</f>
        <v>-53.7</v>
      </c>
      <c r="C7" s="8">
        <f>-Premissas!$B$16/4/1000</f>
        <v>-53.7</v>
      </c>
      <c r="D7" s="8">
        <f>-Premissas!$B$16/4/1000</f>
        <v>-53.7</v>
      </c>
      <c r="E7" s="8">
        <f>-Premissas!$B$16/4/1000</f>
        <v>-53.7</v>
      </c>
      <c r="F7" s="8">
        <f>-Premissas!$B$17/4/1000</f>
        <v>-81</v>
      </c>
      <c r="G7" s="8">
        <f>-Premissas!$B$17/4/1000</f>
        <v>-81</v>
      </c>
      <c r="H7" s="8">
        <f>-Premissas!$B$17/4/1000</f>
        <v>-81</v>
      </c>
      <c r="I7" s="8">
        <f>-Premissas!$B$17/4/1000</f>
        <v>-81</v>
      </c>
      <c r="J7" s="8">
        <f>-Premissas!$B$18/4/1000</f>
        <v>-119.4</v>
      </c>
      <c r="K7" s="8">
        <f>-Premissas!$B$18/4/1000</f>
        <v>-119.4</v>
      </c>
      <c r="L7" s="8">
        <f>-Premissas!$B$18/4/1000</f>
        <v>-119.4</v>
      </c>
      <c r="M7" s="8">
        <f>-Premissas!$B$18/4/1000</f>
        <v>-119.4</v>
      </c>
    </row>
    <row r="8" spans="1:13">
      <c r="A8" s="5" t="s">
        <v>97</v>
      </c>
      <c r="B8" s="8">
        <f>-Tributacao_v3!B9/1000</f>
        <v>-0.4307865168539326</v>
      </c>
      <c r="C8" s="8">
        <f>-Tributacao_v3!C9/1000</f>
        <v>-0.84960674157303384</v>
      </c>
      <c r="D8" s="8">
        <f>-Tributacao_v3!D9/1000</f>
        <v>-1.2803932584269662</v>
      </c>
      <c r="E8" s="8">
        <f>-Tributacao_v3!E9/1000</f>
        <v>-1.6992134831460677</v>
      </c>
      <c r="F8" s="8">
        <f>-Tributacao_v3!F9/1000</f>
        <v>-3.3984269662921354</v>
      </c>
      <c r="G8" s="8">
        <f>-Tributacao_v3!G9/1000</f>
        <v>-3.9129775280898875</v>
      </c>
      <c r="H8" s="8">
        <f>-Tributacao_v3!H9/1000</f>
        <v>-5.4331671965403521</v>
      </c>
      <c r="I8" s="8">
        <f>-Tributacao_v3!I9/1000</f>
        <v>-6.7470112359550551</v>
      </c>
      <c r="J8" s="8">
        <f>-Tributacao_v3!J9/1000</f>
        <v>-13.118539456441402</v>
      </c>
      <c r="K8" s="8">
        <f>-Tributacao_v3!K9/1000</f>
        <v>-16.830710926314751</v>
      </c>
      <c r="L8" s="8">
        <f>-Tributacao_v3!L9/1000</f>
        <v>-21.283010304664021</v>
      </c>
      <c r="M8" s="8">
        <f>-Tributacao_v3!M9/1000</f>
        <v>-25.011051502145925</v>
      </c>
    </row>
    <row r="9" spans="1:13">
      <c r="A9" s="9" t="s">
        <v>98</v>
      </c>
      <c r="B9" s="10">
        <f t="shared" ref="B9:M9" si="0">SUM(B4:B8)</f>
        <v>-47.130808988764052</v>
      </c>
      <c r="C9" s="10">
        <f t="shared" si="0"/>
        <v>-40.744095505617977</v>
      </c>
      <c r="D9" s="10">
        <f t="shared" si="0"/>
        <v>-34.174904494382034</v>
      </c>
      <c r="E9" s="10">
        <f t="shared" si="0"/>
        <v>-27.788191011235952</v>
      </c>
      <c r="F9" s="10">
        <f t="shared" si="0"/>
        <v>-29.176382022471898</v>
      </c>
      <c r="G9" s="10">
        <f t="shared" si="0"/>
        <v>-21.329848314606732</v>
      </c>
      <c r="H9" s="10">
        <f t="shared" si="0"/>
        <v>-11.572296410023498</v>
      </c>
      <c r="I9" s="10">
        <f t="shared" si="0"/>
        <v>-4.5250561797752891</v>
      </c>
      <c r="J9" s="10">
        <f t="shared" si="0"/>
        <v>12.634490586477023</v>
      </c>
      <c r="K9" s="10">
        <f t="shared" si="0"/>
        <v>30.520156026474936</v>
      </c>
      <c r="L9" s="10">
        <f t="shared" si="0"/>
        <v>55.254122742546301</v>
      </c>
      <c r="M9" s="10">
        <f t="shared" si="0"/>
        <v>73.123918454935648</v>
      </c>
    </row>
    <row r="10" spans="1:13">
      <c r="A10" s="5" t="s">
        <v>99</v>
      </c>
      <c r="B10" s="8">
        <f>-Premissas!$B$10/1000</f>
        <v>-8</v>
      </c>
      <c r="C10" s="8">
        <v>0</v>
      </c>
      <c r="D10" s="8">
        <v>0</v>
      </c>
      <c r="E10" s="8">
        <v>0</v>
      </c>
      <c r="F10" s="8">
        <f>-Premissas!$B$11/1000</f>
        <v>-24</v>
      </c>
      <c r="G10" s="8">
        <v>0</v>
      </c>
      <c r="H10" s="8">
        <v>0</v>
      </c>
      <c r="I10" s="8">
        <v>0</v>
      </c>
      <c r="J10" s="8">
        <f>-Premissas!$B$12/1000</f>
        <v>-48</v>
      </c>
      <c r="K10" s="8">
        <v>0</v>
      </c>
      <c r="L10" s="8">
        <v>0</v>
      </c>
      <c r="M10" s="8">
        <v>0</v>
      </c>
    </row>
    <row r="11" spans="1:13">
      <c r="A11" s="11" t="s">
        <v>100</v>
      </c>
      <c r="B11" s="12">
        <f t="shared" ref="B11:M11" si="1">SUM(B9:B10)</f>
        <v>-55.130808988764052</v>
      </c>
      <c r="C11" s="12">
        <f t="shared" si="1"/>
        <v>-40.744095505617977</v>
      </c>
      <c r="D11" s="12">
        <f t="shared" si="1"/>
        <v>-34.174904494382034</v>
      </c>
      <c r="E11" s="12">
        <f t="shared" si="1"/>
        <v>-27.788191011235952</v>
      </c>
      <c r="F11" s="12">
        <f t="shared" si="1"/>
        <v>-53.176382022471898</v>
      </c>
      <c r="G11" s="12">
        <f t="shared" si="1"/>
        <v>-21.329848314606732</v>
      </c>
      <c r="H11" s="12">
        <f t="shared" si="1"/>
        <v>-11.572296410023498</v>
      </c>
      <c r="I11" s="12">
        <f t="shared" si="1"/>
        <v>-4.5250561797752891</v>
      </c>
      <c r="J11" s="12">
        <f t="shared" si="1"/>
        <v>-35.365509413522979</v>
      </c>
      <c r="K11" s="12">
        <f t="shared" si="1"/>
        <v>30.520156026474936</v>
      </c>
      <c r="L11" s="12">
        <f t="shared" si="1"/>
        <v>55.254122742546301</v>
      </c>
      <c r="M11" s="12">
        <f t="shared" si="1"/>
        <v>73.123918454935648</v>
      </c>
    </row>
    <row r="12" spans="1:13">
      <c r="A12" s="5" t="s">
        <v>101</v>
      </c>
      <c r="B12" s="13">
        <f>-MIN(0,MIN(B17:M17))+Premissas!$B$9/1000</f>
        <v>337.50709234040039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</row>
    <row r="13" spans="1:13">
      <c r="A13" s="5" t="s">
        <v>102</v>
      </c>
      <c r="B13" s="8">
        <f t="shared" ref="B13:M13" si="2">B11+B12</f>
        <v>282.37628335163635</v>
      </c>
      <c r="C13" s="8">
        <f t="shared" si="2"/>
        <v>-40.744095505617977</v>
      </c>
      <c r="D13" s="8">
        <f t="shared" si="2"/>
        <v>-34.174904494382034</v>
      </c>
      <c r="E13" s="8">
        <f t="shared" si="2"/>
        <v>-27.788191011235952</v>
      </c>
      <c r="F13" s="8">
        <f t="shared" si="2"/>
        <v>-53.176382022471898</v>
      </c>
      <c r="G13" s="8">
        <f t="shared" si="2"/>
        <v>-21.329848314606732</v>
      </c>
      <c r="H13" s="8">
        <f t="shared" si="2"/>
        <v>-11.572296410023498</v>
      </c>
      <c r="I13" s="8">
        <f t="shared" si="2"/>
        <v>-4.5250561797752891</v>
      </c>
      <c r="J13" s="8">
        <f t="shared" si="2"/>
        <v>-35.365509413522979</v>
      </c>
      <c r="K13" s="8">
        <f t="shared" si="2"/>
        <v>30.520156026474936</v>
      </c>
      <c r="L13" s="8">
        <f t="shared" si="2"/>
        <v>55.254122742546301</v>
      </c>
      <c r="M13" s="8">
        <f t="shared" si="2"/>
        <v>73.123918454935648</v>
      </c>
    </row>
    <row r="14" spans="1:13">
      <c r="A14" s="14" t="s">
        <v>103</v>
      </c>
      <c r="B14" s="15">
        <f>B13</f>
        <v>282.37628335163635</v>
      </c>
      <c r="C14" s="15">
        <f t="shared" ref="C14:M14" si="3">B14+C13</f>
        <v>241.63218784601838</v>
      </c>
      <c r="D14" s="15">
        <f t="shared" si="3"/>
        <v>207.45728335163636</v>
      </c>
      <c r="E14" s="15">
        <f t="shared" si="3"/>
        <v>179.66909234040043</v>
      </c>
      <c r="F14" s="15">
        <f t="shared" si="3"/>
        <v>126.49271031792853</v>
      </c>
      <c r="G14" s="15">
        <f t="shared" si="3"/>
        <v>105.16286200332179</v>
      </c>
      <c r="H14" s="15">
        <f t="shared" si="3"/>
        <v>93.590565593298294</v>
      </c>
      <c r="I14" s="15">
        <f t="shared" si="3"/>
        <v>89.065509413523003</v>
      </c>
      <c r="J14" s="15">
        <f t="shared" si="3"/>
        <v>53.700000000000024</v>
      </c>
      <c r="K14" s="15">
        <f t="shared" si="3"/>
        <v>84.220156026474967</v>
      </c>
      <c r="L14" s="15">
        <f t="shared" si="3"/>
        <v>139.47427876902128</v>
      </c>
      <c r="M14" s="15">
        <f t="shared" si="3"/>
        <v>212.59819722395693</v>
      </c>
    </row>
    <row r="15" spans="1:13">
      <c r="A15" s="5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>
      <c r="A16" s="5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>
      <c r="A17" s="16" t="s">
        <v>104</v>
      </c>
      <c r="B17" s="17">
        <f>B11</f>
        <v>-55.130808988764052</v>
      </c>
      <c r="C17" s="17">
        <f t="shared" ref="C17:M17" si="4">B17+C11</f>
        <v>-95.874904494382037</v>
      </c>
      <c r="D17" s="17">
        <f t="shared" si="4"/>
        <v>-130.04980898876408</v>
      </c>
      <c r="E17" s="17">
        <f t="shared" si="4"/>
        <v>-157.83800000000002</v>
      </c>
      <c r="F17" s="17">
        <f t="shared" si="4"/>
        <v>-211.01438202247192</v>
      </c>
      <c r="G17" s="17">
        <f t="shared" si="4"/>
        <v>-232.34423033707864</v>
      </c>
      <c r="H17" s="17">
        <f t="shared" si="4"/>
        <v>-243.91652674710213</v>
      </c>
      <c r="I17" s="17">
        <f t="shared" si="4"/>
        <v>-248.4415829268774</v>
      </c>
      <c r="J17" s="17">
        <f t="shared" si="4"/>
        <v>-283.8070923404004</v>
      </c>
      <c r="K17" s="17">
        <f t="shared" si="4"/>
        <v>-253.28693631392548</v>
      </c>
      <c r="L17" s="17">
        <f t="shared" si="4"/>
        <v>-198.03281357137917</v>
      </c>
      <c r="M17" s="17">
        <f t="shared" si="4"/>
        <v>-124.90889511644352</v>
      </c>
    </row>
    <row r="18" spans="1:1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>
      <c r="A19" s="55" t="s">
        <v>105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</row>
    <row r="20" spans="1:13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</row>
    <row r="21" spans="1:13">
      <c r="A21" s="56" t="s">
        <v>106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</row>
    <row r="22" spans="1:13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</row>
    <row r="23" spans="1:1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</sheetData>
  <mergeCells count="3">
    <mergeCell ref="A1:M1"/>
    <mergeCell ref="A19:M20"/>
    <mergeCell ref="A21:M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workbookViewId="0"/>
  </sheetViews>
  <sheetFormatPr baseColWidth="10" defaultColWidth="8.83203125" defaultRowHeight="15"/>
  <cols>
    <col min="1" max="1" width="28" customWidth="1"/>
    <col min="2" max="2" width="12.1640625" customWidth="1"/>
    <col min="3" max="3" width="9" customWidth="1"/>
    <col min="4" max="4" width="8.33203125" customWidth="1"/>
    <col min="5" max="5" width="23.5" customWidth="1"/>
    <col min="6" max="6" width="14.1640625" customWidth="1"/>
    <col min="7" max="7" width="10.1640625" customWidth="1"/>
    <col min="8" max="13" width="8.33203125" customWidth="1"/>
  </cols>
  <sheetData>
    <row r="1" spans="1:13">
      <c r="A1" s="52" t="s">
        <v>108</v>
      </c>
      <c r="B1" s="52"/>
      <c r="C1" s="52"/>
      <c r="D1" s="52"/>
      <c r="E1" s="52"/>
      <c r="F1" s="52"/>
      <c r="G1" s="52"/>
      <c r="H1" s="52"/>
      <c r="I1" s="5"/>
      <c r="J1" s="5"/>
      <c r="K1" s="5"/>
      <c r="L1" s="5"/>
      <c r="M1" s="5"/>
    </row>
    <row r="2" spans="1:1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29">
      <c r="A3" s="4" t="s">
        <v>109</v>
      </c>
      <c r="B3" s="4" t="s">
        <v>110</v>
      </c>
      <c r="C3" s="4" t="s">
        <v>111</v>
      </c>
      <c r="D3" s="5"/>
      <c r="E3" s="4" t="s">
        <v>112</v>
      </c>
      <c r="F3" s="4" t="s">
        <v>113</v>
      </c>
      <c r="G3" s="4" t="s">
        <v>114</v>
      </c>
      <c r="H3" s="4" t="s">
        <v>115</v>
      </c>
      <c r="I3" s="5"/>
      <c r="J3" s="5"/>
      <c r="K3" s="5"/>
      <c r="L3" s="5"/>
      <c r="M3" s="5"/>
    </row>
    <row r="4" spans="1:13">
      <c r="A4" s="5" t="s">
        <v>116</v>
      </c>
      <c r="B4" s="8">
        <f>DFC_A!B12</f>
        <v>47.414382022471891</v>
      </c>
      <c r="C4" s="8">
        <f>DFC_B!B12</f>
        <v>337.50709234040039</v>
      </c>
      <c r="D4" s="5"/>
      <c r="E4" s="2">
        <v>1000</v>
      </c>
      <c r="F4" s="5">
        <f>DFC_B!B12</f>
        <v>337.50709234040039</v>
      </c>
      <c r="G4" s="5">
        <f>E4+F4</f>
        <v>1337.5070923404005</v>
      </c>
      <c r="H4" s="6">
        <f>F4/G4</f>
        <v>0.25234041320096684</v>
      </c>
      <c r="I4" s="5"/>
      <c r="J4" s="5"/>
      <c r="K4" s="5"/>
      <c r="L4" s="5"/>
      <c r="M4" s="5"/>
    </row>
    <row r="5" spans="1:13">
      <c r="A5" s="5" t="s">
        <v>117</v>
      </c>
      <c r="B5" s="8">
        <f>DFC_A!M14</f>
        <v>292.50548690602841</v>
      </c>
      <c r="C5" s="8">
        <f>DFC_B!M14</f>
        <v>212.59819722395693</v>
      </c>
      <c r="D5" s="5"/>
      <c r="E5" s="2">
        <v>1500</v>
      </c>
      <c r="F5" s="5">
        <f>DFC_B!B12</f>
        <v>337.50709234040039</v>
      </c>
      <c r="G5" s="5">
        <f>E5+F5</f>
        <v>1837.5070923404005</v>
      </c>
      <c r="H5" s="6">
        <f>F5/G5</f>
        <v>0.1836766202140333</v>
      </c>
      <c r="I5" s="5"/>
      <c r="J5" s="5"/>
      <c r="K5" s="5"/>
      <c r="L5" s="5"/>
      <c r="M5" s="5"/>
    </row>
    <row r="6" spans="1:13">
      <c r="A6" s="5" t="s">
        <v>118</v>
      </c>
      <c r="B6" s="8">
        <f>SUM(DFC_A!B11:M11)</f>
        <v>245.09110488355648</v>
      </c>
      <c r="C6" s="8">
        <f>SUM(DFC_B!B11:M11)</f>
        <v>-124.90889511644352</v>
      </c>
      <c r="D6" s="5"/>
      <c r="E6" s="2">
        <v>2000</v>
      </c>
      <c r="F6" s="5">
        <f>DFC_B!B12</f>
        <v>337.50709234040039</v>
      </c>
      <c r="G6" s="5">
        <f>E6+F6</f>
        <v>2337.5070923404005</v>
      </c>
      <c r="H6" s="6">
        <f>F6/G6</f>
        <v>0.14438762279967055</v>
      </c>
      <c r="I6" s="5"/>
      <c r="J6" s="5"/>
      <c r="K6" s="5"/>
      <c r="L6" s="5"/>
      <c r="M6" s="5"/>
    </row>
    <row r="7" spans="1:13">
      <c r="A7" s="5" t="s">
        <v>119</v>
      </c>
      <c r="B7" s="8">
        <f>Premissas!B19/1000</f>
        <v>148.80000000000001</v>
      </c>
      <c r="C7" s="8">
        <v>0</v>
      </c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>
      <c r="A8" s="5" t="s">
        <v>120</v>
      </c>
      <c r="B8" s="5" t="s">
        <v>44</v>
      </c>
      <c r="C8" s="5" t="s">
        <v>121</v>
      </c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5" t="s">
        <v>122</v>
      </c>
      <c r="B9" s="5" t="s">
        <v>123</v>
      </c>
      <c r="C9" s="5" t="s">
        <v>123</v>
      </c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5" t="s">
        <v>115</v>
      </c>
      <c r="B10" s="5" t="s">
        <v>123</v>
      </c>
      <c r="C10" s="5" t="s">
        <v>124</v>
      </c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>
      <c r="A12" s="5" t="s">
        <v>103</v>
      </c>
      <c r="B12" s="5" t="s">
        <v>70</v>
      </c>
      <c r="C12" s="5" t="s">
        <v>71</v>
      </c>
      <c r="D12" s="5" t="s">
        <v>72</v>
      </c>
      <c r="E12" s="5" t="s">
        <v>73</v>
      </c>
      <c r="F12" s="5" t="s">
        <v>74</v>
      </c>
      <c r="G12" s="5" t="s">
        <v>75</v>
      </c>
      <c r="H12" s="5" t="s">
        <v>76</v>
      </c>
      <c r="I12" s="5" t="s">
        <v>77</v>
      </c>
      <c r="J12" s="5" t="s">
        <v>78</v>
      </c>
      <c r="K12" s="5" t="s">
        <v>79</v>
      </c>
      <c r="L12" s="5" t="s">
        <v>80</v>
      </c>
      <c r="M12" s="5" t="s">
        <v>81</v>
      </c>
    </row>
    <row r="13" spans="1:13">
      <c r="A13" s="5" t="s">
        <v>125</v>
      </c>
      <c r="B13" s="5">
        <f>DFC_A!B14</f>
        <v>29.483573033707849</v>
      </c>
      <c r="C13" s="5">
        <f>DFC_A!C14</f>
        <v>25.939477528089874</v>
      </c>
      <c r="D13" s="5">
        <f>DFC_A!D14</f>
        <v>28.96457303370785</v>
      </c>
      <c r="E13" s="5">
        <f>DFC_A!E14</f>
        <v>38.376382022471901</v>
      </c>
      <c r="F13" s="5">
        <f>DFC_A!F14</f>
        <v>16.5</v>
      </c>
      <c r="G13" s="5">
        <f>DFC_A!G14</f>
        <v>26.470151685393262</v>
      </c>
      <c r="H13" s="5">
        <f>DFC_A!H14</f>
        <v>46.197855275369761</v>
      </c>
      <c r="I13" s="5">
        <f>DFC_A!I14</f>
        <v>72.972799095594468</v>
      </c>
      <c r="J13" s="5">
        <f>DFC_A!J14</f>
        <v>61.607289682071489</v>
      </c>
      <c r="K13" s="5">
        <f>DFC_A!K14</f>
        <v>116.12744570854642</v>
      </c>
      <c r="L13" s="5">
        <f>DFC_A!L14</f>
        <v>195.38156845109273</v>
      </c>
      <c r="M13" s="5">
        <f>DFC_A!M14</f>
        <v>292.50548690602841</v>
      </c>
    </row>
    <row r="14" spans="1:13">
      <c r="A14" s="5" t="s">
        <v>126</v>
      </c>
      <c r="B14" s="5">
        <f>DFC_B!B14</f>
        <v>282.37628335163635</v>
      </c>
      <c r="C14" s="5">
        <f>DFC_B!C14</f>
        <v>241.63218784601838</v>
      </c>
      <c r="D14" s="5">
        <f>DFC_B!D14</f>
        <v>207.45728335163636</v>
      </c>
      <c r="E14" s="5">
        <f>DFC_B!E14</f>
        <v>179.66909234040043</v>
      </c>
      <c r="F14" s="5">
        <f>DFC_B!F14</f>
        <v>126.49271031792853</v>
      </c>
      <c r="G14" s="5">
        <f>DFC_B!G14</f>
        <v>105.16286200332179</v>
      </c>
      <c r="H14" s="5">
        <f>DFC_B!H14</f>
        <v>93.590565593298294</v>
      </c>
      <c r="I14" s="5">
        <f>DFC_B!I14</f>
        <v>89.065509413523003</v>
      </c>
      <c r="J14" s="5">
        <f>DFC_B!J14</f>
        <v>53.700000000000024</v>
      </c>
      <c r="K14" s="5">
        <f>DFC_B!K14</f>
        <v>84.220156026474967</v>
      </c>
      <c r="L14" s="5">
        <f>DFC_B!L14</f>
        <v>139.47427876902128</v>
      </c>
      <c r="M14" s="5">
        <f>DFC_B!M14</f>
        <v>212.59819722395693</v>
      </c>
    </row>
    <row r="15" spans="1:1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29">
      <c r="A16" s="30" t="s">
        <v>127</v>
      </c>
      <c r="B16" s="30" t="s">
        <v>110</v>
      </c>
      <c r="C16" s="30" t="s">
        <v>111</v>
      </c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>
      <c r="A17" s="5" t="s">
        <v>128</v>
      </c>
      <c r="B17" s="31">
        <f>Tributacao_v3!C13/1000</f>
        <v>4.26</v>
      </c>
      <c r="C17" s="31">
        <f>Tributacao_v3!C13/1000</f>
        <v>4.26</v>
      </c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>
      <c r="A18" s="5" t="s">
        <v>129</v>
      </c>
      <c r="B18" s="31">
        <f>Tributacao_v3!C14/1000</f>
        <v>19.491582926877427</v>
      </c>
      <c r="C18" s="31">
        <f>Tributacao_v3!C14/1000</f>
        <v>19.491582926877427</v>
      </c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>
      <c r="A19" s="5" t="s">
        <v>130</v>
      </c>
      <c r="B19" s="31">
        <f>Tributacao_v3!C15/1000</f>
        <v>76.243312189566097</v>
      </c>
      <c r="C19" s="31">
        <f>Tributacao_v3!C15/1000</f>
        <v>76.243312189566097</v>
      </c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>
      <c r="A20" s="5" t="s">
        <v>131</v>
      </c>
      <c r="B20" s="32">
        <f>Tributacao_v3!D15</f>
        <v>0.10247757014726627</v>
      </c>
      <c r="C20" s="32">
        <f>Tributacao_v3!D15</f>
        <v>0.10247757014726627</v>
      </c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</sheetData>
  <mergeCells count="1">
    <mergeCell ref="A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"/>
  <sheetViews>
    <sheetView workbookViewId="0"/>
  </sheetViews>
  <sheetFormatPr baseColWidth="10" defaultColWidth="8.83203125" defaultRowHeight="15"/>
  <cols>
    <col min="1" max="1" width="28" customWidth="1"/>
    <col min="2" max="3" width="9.1640625" customWidth="1"/>
    <col min="4" max="4" width="7.1640625" customWidth="1"/>
    <col min="5" max="5" width="18.5" customWidth="1"/>
    <col min="6" max="6" width="7.5" customWidth="1"/>
  </cols>
  <sheetData>
    <row r="1" spans="1:13">
      <c r="A1" s="52" t="s">
        <v>132</v>
      </c>
      <c r="B1" s="52"/>
      <c r="C1" s="52"/>
      <c r="D1" s="52"/>
      <c r="E1" s="52"/>
      <c r="F1" s="52"/>
      <c r="G1" s="5"/>
      <c r="H1" s="5"/>
      <c r="I1" s="5"/>
      <c r="J1" s="5"/>
      <c r="K1" s="5"/>
      <c r="L1" s="5"/>
      <c r="M1" s="5"/>
    </row>
    <row r="2" spans="1:1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29">
      <c r="A3" s="4" t="s">
        <v>133</v>
      </c>
      <c r="B3" s="4" t="s">
        <v>134</v>
      </c>
      <c r="C3" s="4" t="s">
        <v>135</v>
      </c>
      <c r="D3" s="4" t="s">
        <v>136</v>
      </c>
      <c r="E3" s="4" t="s">
        <v>137</v>
      </c>
      <c r="F3" s="4" t="s">
        <v>85</v>
      </c>
      <c r="G3" s="5"/>
      <c r="H3" s="5"/>
      <c r="I3" s="5"/>
      <c r="J3" s="5"/>
      <c r="K3" s="5"/>
      <c r="L3" s="5"/>
      <c r="M3" s="5"/>
    </row>
    <row r="4" spans="1:13">
      <c r="A4" s="5" t="s">
        <v>138</v>
      </c>
      <c r="B4" s="2">
        <v>50</v>
      </c>
      <c r="C4" s="2">
        <v>100</v>
      </c>
      <c r="D4" s="2">
        <v>150</v>
      </c>
      <c r="E4" s="5" t="s">
        <v>139</v>
      </c>
      <c r="F4" s="5" t="s">
        <v>21</v>
      </c>
      <c r="G4" s="5"/>
      <c r="H4" s="5"/>
      <c r="I4" s="5"/>
      <c r="J4" s="5"/>
      <c r="K4" s="5"/>
      <c r="L4" s="5"/>
      <c r="M4" s="5"/>
    </row>
    <row r="5" spans="1:13" ht="29">
      <c r="A5" s="5" t="s">
        <v>140</v>
      </c>
      <c r="B5" s="2">
        <v>30</v>
      </c>
      <c r="C5" s="2">
        <v>20</v>
      </c>
      <c r="D5" s="2">
        <v>15</v>
      </c>
      <c r="E5" s="5" t="s">
        <v>141</v>
      </c>
      <c r="F5" s="5" t="s">
        <v>2</v>
      </c>
      <c r="G5" s="5"/>
      <c r="H5" s="5"/>
      <c r="I5" s="5"/>
      <c r="J5" s="5"/>
      <c r="K5" s="5"/>
      <c r="L5" s="5"/>
      <c r="M5" s="5"/>
    </row>
    <row r="6" spans="1:13" ht="29">
      <c r="A6" s="5" t="s">
        <v>26</v>
      </c>
      <c r="B6" s="3">
        <v>0.02</v>
      </c>
      <c r="C6" s="3">
        <v>0.01</v>
      </c>
      <c r="D6" s="3">
        <v>5.0000000000000001E-3</v>
      </c>
      <c r="E6" s="5" t="s">
        <v>142</v>
      </c>
      <c r="F6" s="5" t="s">
        <v>2</v>
      </c>
      <c r="G6" s="5"/>
      <c r="H6" s="5"/>
      <c r="I6" s="5"/>
      <c r="J6" s="5"/>
      <c r="K6" s="5"/>
      <c r="L6" s="5"/>
      <c r="M6" s="5"/>
    </row>
    <row r="7" spans="1:13" ht="29">
      <c r="A7" s="5" t="s">
        <v>143</v>
      </c>
      <c r="B7" s="3">
        <v>0.6</v>
      </c>
      <c r="C7" s="3">
        <v>0.8</v>
      </c>
      <c r="D7" s="3">
        <v>0.9</v>
      </c>
      <c r="E7" s="5" t="s">
        <v>144</v>
      </c>
      <c r="F7" s="5" t="s">
        <v>2</v>
      </c>
      <c r="G7" s="5"/>
      <c r="H7" s="5"/>
      <c r="I7" s="5"/>
      <c r="J7" s="5"/>
      <c r="K7" s="5"/>
      <c r="L7" s="5"/>
      <c r="M7" s="5"/>
    </row>
    <row r="8" spans="1:1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0"/>
  <sheetViews>
    <sheetView workbookViewId="0"/>
  </sheetViews>
  <sheetFormatPr baseColWidth="10" defaultColWidth="8.83203125" defaultRowHeight="15"/>
  <cols>
    <col min="1" max="1" width="28" customWidth="1"/>
    <col min="2" max="5" width="16.6640625" customWidth="1"/>
    <col min="6" max="6" width="18.6640625" customWidth="1"/>
    <col min="7" max="10" width="24" customWidth="1"/>
    <col min="11" max="13" width="16.6640625" customWidth="1"/>
    <col min="15" max="17" width="18" customWidth="1"/>
  </cols>
  <sheetData>
    <row r="1" spans="1:17">
      <c r="A1" s="57" t="s">
        <v>145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1:17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>
      <c r="A3" s="18" t="s">
        <v>146</v>
      </c>
      <c r="B3" s="18" t="s">
        <v>87</v>
      </c>
      <c r="C3" s="18" t="s">
        <v>89</v>
      </c>
      <c r="D3" s="18" t="s">
        <v>90</v>
      </c>
      <c r="E3" s="18" t="s">
        <v>4</v>
      </c>
      <c r="F3" s="18" t="s">
        <v>147</v>
      </c>
      <c r="G3" s="18" t="s">
        <v>86</v>
      </c>
      <c r="H3" s="18" t="s">
        <v>148</v>
      </c>
      <c r="I3" s="18" t="s">
        <v>149</v>
      </c>
      <c r="J3" s="18" t="s">
        <v>150</v>
      </c>
      <c r="K3" s="5"/>
      <c r="L3" s="5"/>
      <c r="M3" s="5"/>
      <c r="N3" s="5"/>
      <c r="O3" s="18" t="s">
        <v>151</v>
      </c>
      <c r="P3" s="18" t="s">
        <v>152</v>
      </c>
      <c r="Q3" s="18" t="s">
        <v>85</v>
      </c>
    </row>
    <row r="4" spans="1:17">
      <c r="A4" s="5" t="s">
        <v>153</v>
      </c>
      <c r="B4" s="2">
        <v>2</v>
      </c>
      <c r="C4" s="2">
        <v>5</v>
      </c>
      <c r="D4" s="2">
        <v>10</v>
      </c>
      <c r="E4" s="5" t="s">
        <v>154</v>
      </c>
      <c r="F4" s="5" t="s">
        <v>155</v>
      </c>
      <c r="G4" s="5" t="s">
        <v>156</v>
      </c>
      <c r="H4" s="5" t="s">
        <v>157</v>
      </c>
      <c r="I4" s="5" t="s">
        <v>158</v>
      </c>
      <c r="J4" s="5"/>
      <c r="K4" s="5"/>
      <c r="L4" s="5"/>
      <c r="M4" s="5"/>
      <c r="N4" s="5"/>
      <c r="O4" s="5" t="s">
        <v>159</v>
      </c>
      <c r="P4" s="5">
        <f>SUM(B23:M23)</f>
        <v>5508</v>
      </c>
      <c r="Q4" s="5" t="str">
        <f>IF(P4=5508,"OK","REVER")</f>
        <v>OK</v>
      </c>
    </row>
    <row r="5" spans="1:17">
      <c r="A5" s="5" t="s">
        <v>160</v>
      </c>
      <c r="B5" s="2">
        <v>100</v>
      </c>
      <c r="C5" s="2">
        <v>100</v>
      </c>
      <c r="D5" s="2">
        <v>100</v>
      </c>
      <c r="E5" s="5" t="s">
        <v>161</v>
      </c>
      <c r="F5" s="5" t="s">
        <v>155</v>
      </c>
      <c r="G5" s="5" t="s">
        <v>162</v>
      </c>
      <c r="H5" s="5" t="s">
        <v>157</v>
      </c>
      <c r="I5" s="5" t="s">
        <v>158</v>
      </c>
      <c r="J5" s="5"/>
      <c r="K5" s="5"/>
      <c r="L5" s="5"/>
      <c r="M5" s="5"/>
      <c r="N5" s="5"/>
      <c r="O5" s="5" t="s">
        <v>163</v>
      </c>
      <c r="P5" s="5">
        <f>SUM(B30:E30)</f>
        <v>71000</v>
      </c>
      <c r="Q5" s="5" t="str">
        <f>IF(ABS(P5-B17)&lt;1,"OK","REVER")</f>
        <v>OK</v>
      </c>
    </row>
    <row r="6" spans="1:17">
      <c r="A6" s="5" t="s">
        <v>164</v>
      </c>
      <c r="B6" s="3">
        <v>0.5</v>
      </c>
      <c r="C6" s="3">
        <v>0.6</v>
      </c>
      <c r="D6" s="3">
        <v>0.65</v>
      </c>
      <c r="E6" s="5" t="s">
        <v>165</v>
      </c>
      <c r="F6" s="5" t="s">
        <v>155</v>
      </c>
      <c r="G6" s="5" t="s">
        <v>166</v>
      </c>
      <c r="H6" s="5" t="s">
        <v>157</v>
      </c>
      <c r="I6" s="5" t="s">
        <v>158</v>
      </c>
      <c r="J6" s="5"/>
      <c r="K6" s="5"/>
      <c r="L6" s="5"/>
      <c r="M6" s="5"/>
      <c r="N6" s="5"/>
      <c r="O6" s="5" t="s">
        <v>167</v>
      </c>
      <c r="P6" s="5">
        <f>SUM(F30:I30)</f>
        <v>284000</v>
      </c>
      <c r="Q6" s="5" t="str">
        <f>IF(ABS(P6-C17)&lt;1,"OK","REVER")</f>
        <v>OK</v>
      </c>
    </row>
    <row r="7" spans="1:17" ht="29">
      <c r="A7" s="5" t="s">
        <v>168</v>
      </c>
      <c r="B7" s="19">
        <f>B4*B5*B6</f>
        <v>100</v>
      </c>
      <c r="C7" s="19">
        <f>C4*C5*C6</f>
        <v>300</v>
      </c>
      <c r="D7" s="19">
        <f>D4*D5*D6</f>
        <v>650</v>
      </c>
      <c r="E7" s="5" t="s">
        <v>161</v>
      </c>
      <c r="F7" s="5" t="s">
        <v>169</v>
      </c>
      <c r="G7" s="5" t="s">
        <v>170</v>
      </c>
      <c r="H7" s="5" t="s">
        <v>171</v>
      </c>
      <c r="I7" s="5" t="s">
        <v>172</v>
      </c>
      <c r="J7" s="5"/>
      <c r="K7" s="5"/>
      <c r="L7" s="5"/>
      <c r="M7" s="5"/>
      <c r="N7" s="5"/>
      <c r="O7" s="5" t="s">
        <v>173</v>
      </c>
      <c r="P7" s="5">
        <f>SUM(J30:M30)</f>
        <v>744000</v>
      </c>
      <c r="Q7" s="5" t="str">
        <f>IF(ABS(P7-D17)&lt;1,"OK","REVER")</f>
        <v>OK</v>
      </c>
    </row>
    <row r="8" spans="1:17">
      <c r="A8" s="5" t="s">
        <v>174</v>
      </c>
      <c r="B8" s="2">
        <v>356</v>
      </c>
      <c r="C8" s="2">
        <v>1424</v>
      </c>
      <c r="D8" s="2">
        <v>3728</v>
      </c>
      <c r="E8" s="5" t="s">
        <v>175</v>
      </c>
      <c r="F8" s="5" t="s">
        <v>176</v>
      </c>
      <c r="G8" s="5" t="s">
        <v>177</v>
      </c>
      <c r="H8" s="5" t="s">
        <v>178</v>
      </c>
      <c r="I8" s="5" t="s">
        <v>179</v>
      </c>
      <c r="J8" s="5"/>
      <c r="K8" s="5"/>
      <c r="L8" s="5"/>
      <c r="M8" s="5"/>
      <c r="N8" s="5"/>
      <c r="O8" s="5"/>
      <c r="P8" s="5"/>
      <c r="Q8" s="5"/>
    </row>
    <row r="9" spans="1:17">
      <c r="A9" s="5" t="s">
        <v>180</v>
      </c>
      <c r="B9" s="20">
        <f>B8/B7</f>
        <v>3.56</v>
      </c>
      <c r="C9" s="20">
        <f>C8/C7</f>
        <v>4.746666666666667</v>
      </c>
      <c r="D9" s="20">
        <f>D8/D7</f>
        <v>5.7353846153846151</v>
      </c>
      <c r="E9" s="5" t="s">
        <v>181</v>
      </c>
      <c r="F9" s="5" t="s">
        <v>169</v>
      </c>
      <c r="G9" s="5" t="s">
        <v>182</v>
      </c>
      <c r="H9" s="5" t="s">
        <v>171</v>
      </c>
      <c r="I9" s="5" t="s">
        <v>183</v>
      </c>
      <c r="J9" s="5"/>
      <c r="K9" s="5"/>
      <c r="L9" s="5"/>
      <c r="M9" s="5"/>
      <c r="N9" s="5"/>
      <c r="O9" s="5"/>
      <c r="P9" s="5"/>
      <c r="Q9" s="5"/>
    </row>
    <row r="10" spans="1:17" ht="29">
      <c r="A10" s="5" t="s">
        <v>184</v>
      </c>
      <c r="B10" s="21">
        <v>100</v>
      </c>
      <c r="C10" s="21">
        <v>100</v>
      </c>
      <c r="D10" s="21">
        <v>100</v>
      </c>
      <c r="E10" s="5" t="s">
        <v>18</v>
      </c>
      <c r="F10" s="5" t="s">
        <v>155</v>
      </c>
      <c r="G10" s="5" t="s">
        <v>185</v>
      </c>
      <c r="H10" s="5" t="s">
        <v>186</v>
      </c>
      <c r="I10" s="5" t="s">
        <v>187</v>
      </c>
      <c r="J10" s="5"/>
      <c r="K10" s="5"/>
      <c r="L10" s="5"/>
      <c r="M10" s="5"/>
      <c r="N10" s="5"/>
      <c r="O10" s="18" t="s">
        <v>188</v>
      </c>
      <c r="P10" s="18" t="s">
        <v>189</v>
      </c>
      <c r="Q10" s="18" t="s">
        <v>4</v>
      </c>
    </row>
    <row r="11" spans="1:17" ht="29">
      <c r="A11" s="5" t="s">
        <v>190</v>
      </c>
      <c r="B11" s="22">
        <f>(B17/B8-B10)/B12</f>
        <v>1988.7640449438202</v>
      </c>
      <c r="C11" s="22">
        <f>(C17/C8-C10)/C12</f>
        <v>1988.7640449438202</v>
      </c>
      <c r="D11" s="22">
        <f>(D17/D8-D10)/D12</f>
        <v>1991.4163090128754</v>
      </c>
      <c r="E11" s="5" t="s">
        <v>18</v>
      </c>
      <c r="F11" s="5" t="s">
        <v>191</v>
      </c>
      <c r="G11" s="5" t="s">
        <v>192</v>
      </c>
      <c r="H11" s="5" t="s">
        <v>171</v>
      </c>
      <c r="I11" s="5" t="s">
        <v>193</v>
      </c>
      <c r="J11" s="5"/>
      <c r="K11" s="5"/>
      <c r="L11" s="5"/>
      <c r="M11" s="5"/>
      <c r="N11" s="5"/>
      <c r="O11" s="5" t="s">
        <v>194</v>
      </c>
      <c r="P11" s="29">
        <f>B10</f>
        <v>100</v>
      </c>
      <c r="Q11" s="5" t="s">
        <v>29</v>
      </c>
    </row>
    <row r="12" spans="1:17" ht="29">
      <c r="A12" s="5" t="s">
        <v>195</v>
      </c>
      <c r="B12" s="3">
        <v>0.05</v>
      </c>
      <c r="C12" s="3">
        <v>0.05</v>
      </c>
      <c r="D12" s="3">
        <v>0.05</v>
      </c>
      <c r="E12" s="5" t="s">
        <v>196</v>
      </c>
      <c r="F12" s="5" t="s">
        <v>155</v>
      </c>
      <c r="G12" s="5" t="s">
        <v>197</v>
      </c>
      <c r="H12" s="5" t="s">
        <v>157</v>
      </c>
      <c r="I12" s="5" t="s">
        <v>187</v>
      </c>
      <c r="J12" s="5"/>
      <c r="K12" s="5"/>
      <c r="L12" s="5"/>
      <c r="M12" s="5"/>
      <c r="N12" s="5"/>
      <c r="O12" s="5" t="s">
        <v>198</v>
      </c>
      <c r="P12" s="29">
        <f>AVERAGE(B11:D11)</f>
        <v>1989.6481329668386</v>
      </c>
      <c r="Q12" s="5" t="s">
        <v>29</v>
      </c>
    </row>
    <row r="13" spans="1:17">
      <c r="A13" s="5" t="s">
        <v>199</v>
      </c>
      <c r="B13" s="23">
        <f>B8*B10</f>
        <v>35600</v>
      </c>
      <c r="C13" s="23">
        <f>C8*C10</f>
        <v>142400</v>
      </c>
      <c r="D13" s="23">
        <f>D8*D10</f>
        <v>372800</v>
      </c>
      <c r="E13" s="5" t="s">
        <v>29</v>
      </c>
      <c r="F13" s="5" t="s">
        <v>169</v>
      </c>
      <c r="G13" s="5" t="s">
        <v>200</v>
      </c>
      <c r="H13" s="5" t="s">
        <v>171</v>
      </c>
      <c r="I13" s="5" t="s">
        <v>201</v>
      </c>
      <c r="J13" s="5"/>
      <c r="K13" s="5"/>
      <c r="L13" s="5"/>
      <c r="M13" s="5"/>
      <c r="N13" s="5"/>
      <c r="O13" s="5" t="s">
        <v>202</v>
      </c>
      <c r="P13" s="6">
        <f>B12</f>
        <v>0.05</v>
      </c>
      <c r="Q13" s="5" t="s">
        <v>196</v>
      </c>
    </row>
    <row r="14" spans="1:17">
      <c r="A14" s="5" t="s">
        <v>203</v>
      </c>
      <c r="B14" s="23">
        <f>B8*B11</f>
        <v>708000</v>
      </c>
      <c r="C14" s="23">
        <f>C8*C11</f>
        <v>2832000</v>
      </c>
      <c r="D14" s="23">
        <f>D8*D11</f>
        <v>7424000</v>
      </c>
      <c r="E14" s="5" t="s">
        <v>29</v>
      </c>
      <c r="F14" s="5" t="s">
        <v>169</v>
      </c>
      <c r="G14" s="5" t="s">
        <v>204</v>
      </c>
      <c r="H14" s="5" t="s">
        <v>171</v>
      </c>
      <c r="I14" s="5" t="s">
        <v>205</v>
      </c>
      <c r="J14" s="5"/>
      <c r="K14" s="5"/>
      <c r="L14" s="5"/>
      <c r="M14" s="5"/>
      <c r="N14" s="5"/>
      <c r="O14" s="5" t="s">
        <v>206</v>
      </c>
      <c r="P14" s="29">
        <f>B16/B8</f>
        <v>199.43820224719101</v>
      </c>
      <c r="Q14" s="5" t="s">
        <v>29</v>
      </c>
    </row>
    <row r="15" spans="1:17" ht="43">
      <c r="A15" s="5" t="s">
        <v>207</v>
      </c>
      <c r="B15" s="23">
        <f>B14*B12</f>
        <v>35400</v>
      </c>
      <c r="C15" s="23">
        <f>C14*C12</f>
        <v>141600</v>
      </c>
      <c r="D15" s="23">
        <f>D14*D12</f>
        <v>371200</v>
      </c>
      <c r="E15" s="5" t="s">
        <v>29</v>
      </c>
      <c r="F15" s="5" t="s">
        <v>169</v>
      </c>
      <c r="G15" s="5" t="s">
        <v>208</v>
      </c>
      <c r="H15" s="5" t="s">
        <v>171</v>
      </c>
      <c r="I15" s="5" t="s">
        <v>209</v>
      </c>
      <c r="J15" s="5"/>
      <c r="K15" s="5"/>
      <c r="L15" s="5"/>
      <c r="M15" s="5"/>
      <c r="N15" s="5"/>
      <c r="O15" s="5" t="s">
        <v>210</v>
      </c>
      <c r="P15" s="29">
        <f>P11*Premissas!B6</f>
        <v>3</v>
      </c>
      <c r="Q15" s="5" t="s">
        <v>29</v>
      </c>
    </row>
    <row r="16" spans="1:17" ht="29">
      <c r="A16" s="5" t="s">
        <v>211</v>
      </c>
      <c r="B16" s="23">
        <f>B13+B15</f>
        <v>71000</v>
      </c>
      <c r="C16" s="23">
        <f>C13+C15</f>
        <v>284000</v>
      </c>
      <c r="D16" s="23">
        <f>D13+D15</f>
        <v>744000</v>
      </c>
      <c r="E16" s="5" t="s">
        <v>29</v>
      </c>
      <c r="F16" s="5" t="s">
        <v>169</v>
      </c>
      <c r="G16" s="5" t="s">
        <v>212</v>
      </c>
      <c r="H16" s="5" t="s">
        <v>171</v>
      </c>
      <c r="I16" s="5" t="s">
        <v>213</v>
      </c>
      <c r="J16" s="5"/>
      <c r="K16" s="5"/>
      <c r="L16" s="5"/>
      <c r="M16" s="5"/>
      <c r="N16" s="5"/>
      <c r="O16" s="5" t="s">
        <v>214</v>
      </c>
      <c r="P16" s="29">
        <f>P14-P15-P14*Premissas!B7</f>
        <v>194.4438202247191</v>
      </c>
      <c r="Q16" s="5" t="s">
        <v>29</v>
      </c>
    </row>
    <row r="17" spans="1:17">
      <c r="A17" s="5" t="s">
        <v>215</v>
      </c>
      <c r="B17" s="24">
        <v>71000</v>
      </c>
      <c r="C17" s="24">
        <v>284000</v>
      </c>
      <c r="D17" s="24">
        <v>744000</v>
      </c>
      <c r="E17" s="5" t="s">
        <v>29</v>
      </c>
      <c r="F17" s="5" t="s">
        <v>216</v>
      </c>
      <c r="G17" s="5" t="s">
        <v>217</v>
      </c>
      <c r="H17" s="5" t="s">
        <v>178</v>
      </c>
      <c r="I17" s="5" t="s">
        <v>218</v>
      </c>
      <c r="J17" s="5"/>
      <c r="K17" s="5"/>
      <c r="L17" s="5"/>
      <c r="M17" s="5"/>
      <c r="N17" s="5"/>
      <c r="O17" s="5"/>
      <c r="P17" s="5"/>
      <c r="Q17" s="5"/>
    </row>
    <row r="18" spans="1:17">
      <c r="A18" s="5" t="s">
        <v>219</v>
      </c>
      <c r="B18" s="23">
        <f>B16-B17</f>
        <v>0</v>
      </c>
      <c r="C18" s="23">
        <f>C16-C17</f>
        <v>0</v>
      </c>
      <c r="D18" s="23">
        <f>D16-D17</f>
        <v>0</v>
      </c>
      <c r="E18" s="5" t="s">
        <v>29</v>
      </c>
      <c r="F18" s="5" t="s">
        <v>169</v>
      </c>
      <c r="G18" s="5" t="s">
        <v>220</v>
      </c>
      <c r="H18" s="5" t="s">
        <v>171</v>
      </c>
      <c r="I18" s="5" t="s">
        <v>221</v>
      </c>
      <c r="J18" s="5"/>
      <c r="K18" s="5"/>
      <c r="L18" s="5"/>
      <c r="M18" s="5"/>
      <c r="N18" s="5"/>
      <c r="O18" s="58" t="s">
        <v>222</v>
      </c>
      <c r="P18" s="58"/>
      <c r="Q18" s="58"/>
    </row>
    <row r="19" spans="1:17">
      <c r="A19" s="5" t="s">
        <v>223</v>
      </c>
      <c r="B19" s="25">
        <f>B18/B17</f>
        <v>0</v>
      </c>
      <c r="C19" s="25">
        <f>C18/C17</f>
        <v>0</v>
      </c>
      <c r="D19" s="25">
        <f>D18/D17</f>
        <v>0</v>
      </c>
      <c r="E19" s="5" t="s">
        <v>165</v>
      </c>
      <c r="F19" s="5" t="s">
        <v>169</v>
      </c>
      <c r="G19" s="5" t="s">
        <v>224</v>
      </c>
      <c r="H19" s="5" t="s">
        <v>171</v>
      </c>
      <c r="I19" s="5" t="s">
        <v>225</v>
      </c>
      <c r="J19" s="5"/>
      <c r="K19" s="5"/>
      <c r="L19" s="5"/>
      <c r="M19" s="5"/>
      <c r="N19" s="5"/>
      <c r="O19" s="58"/>
      <c r="P19" s="58"/>
      <c r="Q19" s="58"/>
    </row>
    <row r="20" spans="1:17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8"/>
      <c r="P20" s="58"/>
      <c r="Q20" s="58"/>
    </row>
    <row r="21" spans="1:17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8"/>
      <c r="P21" s="58"/>
      <c r="Q21" s="58"/>
    </row>
    <row r="22" spans="1:17">
      <c r="A22" s="18" t="s">
        <v>226</v>
      </c>
      <c r="B22" s="18" t="s">
        <v>70</v>
      </c>
      <c r="C22" s="18" t="s">
        <v>71</v>
      </c>
      <c r="D22" s="18" t="s">
        <v>72</v>
      </c>
      <c r="E22" s="18" t="s">
        <v>73</v>
      </c>
      <c r="F22" s="18" t="s">
        <v>74</v>
      </c>
      <c r="G22" s="18" t="s">
        <v>75</v>
      </c>
      <c r="H22" s="18" t="s">
        <v>76</v>
      </c>
      <c r="I22" s="18" t="s">
        <v>77</v>
      </c>
      <c r="J22" s="18" t="s">
        <v>78</v>
      </c>
      <c r="K22" s="18" t="s">
        <v>79</v>
      </c>
      <c r="L22" s="18" t="s">
        <v>80</v>
      </c>
      <c r="M22" s="18" t="s">
        <v>81</v>
      </c>
      <c r="N22" s="5"/>
      <c r="O22" s="5"/>
      <c r="P22" s="5"/>
      <c r="Q22" s="5"/>
    </row>
    <row r="23" spans="1:17">
      <c r="A23" s="5" t="s">
        <v>174</v>
      </c>
      <c r="B23" s="2">
        <v>36</v>
      </c>
      <c r="C23" s="2">
        <v>71</v>
      </c>
      <c r="D23" s="2">
        <v>107</v>
      </c>
      <c r="E23" s="2">
        <v>142</v>
      </c>
      <c r="F23" s="2">
        <v>284</v>
      </c>
      <c r="G23" s="2">
        <v>327</v>
      </c>
      <c r="H23" s="2">
        <v>385</v>
      </c>
      <c r="I23" s="2">
        <v>428</v>
      </c>
      <c r="J23" s="2">
        <v>746</v>
      </c>
      <c r="K23" s="2">
        <v>857</v>
      </c>
      <c r="L23" s="2">
        <v>1007</v>
      </c>
      <c r="M23" s="2">
        <v>1118</v>
      </c>
      <c r="N23" s="5"/>
      <c r="O23" s="5"/>
      <c r="P23" s="5"/>
      <c r="Q23" s="5"/>
    </row>
    <row r="24" spans="1:17">
      <c r="A24" s="5" t="s">
        <v>184</v>
      </c>
      <c r="B24" s="26">
        <f>B10</f>
        <v>100</v>
      </c>
      <c r="C24" s="26">
        <f>B10</f>
        <v>100</v>
      </c>
      <c r="D24" s="26">
        <f>B10</f>
        <v>100</v>
      </c>
      <c r="E24" s="26">
        <f t="shared" ref="E24:F26" si="0">B10</f>
        <v>100</v>
      </c>
      <c r="F24" s="26">
        <f t="shared" si="0"/>
        <v>100</v>
      </c>
      <c r="G24" s="26">
        <f>C10</f>
        <v>100</v>
      </c>
      <c r="H24" s="26">
        <f>C10</f>
        <v>100</v>
      </c>
      <c r="I24" s="26">
        <f t="shared" ref="I24:J26" si="1">C10</f>
        <v>100</v>
      </c>
      <c r="J24" s="26">
        <f t="shared" si="1"/>
        <v>100</v>
      </c>
      <c r="K24" s="26">
        <f>D10</f>
        <v>100</v>
      </c>
      <c r="L24" s="26">
        <f>D10</f>
        <v>100</v>
      </c>
      <c r="M24" s="26">
        <f>D10</f>
        <v>100</v>
      </c>
      <c r="N24" s="5"/>
      <c r="O24" s="5"/>
      <c r="P24" s="5"/>
      <c r="Q24" s="5"/>
    </row>
    <row r="25" spans="1:17">
      <c r="A25" s="5" t="s">
        <v>190</v>
      </c>
      <c r="B25" s="26">
        <f>B11</f>
        <v>1988.7640449438202</v>
      </c>
      <c r="C25" s="26">
        <f>B11</f>
        <v>1988.7640449438202</v>
      </c>
      <c r="D25" s="26">
        <f>B11</f>
        <v>1988.7640449438202</v>
      </c>
      <c r="E25" s="26">
        <f t="shared" si="0"/>
        <v>1988.7640449438202</v>
      </c>
      <c r="F25" s="26">
        <f t="shared" si="0"/>
        <v>1988.7640449438202</v>
      </c>
      <c r="G25" s="26">
        <f>C11</f>
        <v>1988.7640449438202</v>
      </c>
      <c r="H25" s="26">
        <f>C11</f>
        <v>1988.7640449438202</v>
      </c>
      <c r="I25" s="26">
        <f t="shared" si="1"/>
        <v>1988.7640449438202</v>
      </c>
      <c r="J25" s="26">
        <f t="shared" si="1"/>
        <v>1991.4163090128754</v>
      </c>
      <c r="K25" s="26">
        <f>D11</f>
        <v>1991.4163090128754</v>
      </c>
      <c r="L25" s="26">
        <f>D11</f>
        <v>1991.4163090128754</v>
      </c>
      <c r="M25" s="26">
        <f>D11</f>
        <v>1991.4163090128754</v>
      </c>
      <c r="N25" s="5"/>
      <c r="O25" s="5"/>
      <c r="P25" s="5"/>
      <c r="Q25" s="5"/>
    </row>
    <row r="26" spans="1:17">
      <c r="A26" s="5" t="s">
        <v>227</v>
      </c>
      <c r="B26" s="27">
        <f>B12</f>
        <v>0.05</v>
      </c>
      <c r="C26" s="27">
        <f>B12</f>
        <v>0.05</v>
      </c>
      <c r="D26" s="27">
        <f>B12</f>
        <v>0.05</v>
      </c>
      <c r="E26" s="27">
        <f t="shared" si="0"/>
        <v>0.05</v>
      </c>
      <c r="F26" s="27">
        <f t="shared" si="0"/>
        <v>0.05</v>
      </c>
      <c r="G26" s="27">
        <f>C12</f>
        <v>0.05</v>
      </c>
      <c r="H26" s="27">
        <f>C12</f>
        <v>0.05</v>
      </c>
      <c r="I26" s="27">
        <f t="shared" si="1"/>
        <v>0.05</v>
      </c>
      <c r="J26" s="27">
        <f t="shared" si="1"/>
        <v>0.05</v>
      </c>
      <c r="K26" s="27">
        <f>D12</f>
        <v>0.05</v>
      </c>
      <c r="L26" s="27">
        <f>D12</f>
        <v>0.05</v>
      </c>
      <c r="M26" s="27">
        <f>D12</f>
        <v>0.05</v>
      </c>
      <c r="N26" s="5"/>
      <c r="O26" s="5"/>
      <c r="P26" s="5"/>
      <c r="Q26" s="5"/>
    </row>
    <row r="27" spans="1:17">
      <c r="A27" s="5" t="s">
        <v>199</v>
      </c>
      <c r="B27" s="28">
        <f t="shared" ref="B27:M27" si="2">B23*B24</f>
        <v>3600</v>
      </c>
      <c r="C27" s="28">
        <f t="shared" si="2"/>
        <v>7100</v>
      </c>
      <c r="D27" s="28">
        <f t="shared" si="2"/>
        <v>10700</v>
      </c>
      <c r="E27" s="28">
        <f t="shared" si="2"/>
        <v>14200</v>
      </c>
      <c r="F27" s="28">
        <f t="shared" si="2"/>
        <v>28400</v>
      </c>
      <c r="G27" s="28">
        <f t="shared" si="2"/>
        <v>32700</v>
      </c>
      <c r="H27" s="28">
        <f t="shared" si="2"/>
        <v>38500</v>
      </c>
      <c r="I27" s="28">
        <f t="shared" si="2"/>
        <v>42800</v>
      </c>
      <c r="J27" s="28">
        <f t="shared" si="2"/>
        <v>74600</v>
      </c>
      <c r="K27" s="28">
        <f t="shared" si="2"/>
        <v>85700</v>
      </c>
      <c r="L27" s="28">
        <f t="shared" si="2"/>
        <v>100700</v>
      </c>
      <c r="M27" s="28">
        <f t="shared" si="2"/>
        <v>111800</v>
      </c>
      <c r="N27" s="5"/>
      <c r="O27" s="5"/>
      <c r="P27" s="5"/>
      <c r="Q27" s="5"/>
    </row>
    <row r="28" spans="1:17">
      <c r="A28" s="5" t="s">
        <v>203</v>
      </c>
      <c r="B28" s="28">
        <f t="shared" ref="B28:M28" si="3">B23*B25</f>
        <v>71595.505617977527</v>
      </c>
      <c r="C28" s="28">
        <f t="shared" si="3"/>
        <v>141202.24719101124</v>
      </c>
      <c r="D28" s="28">
        <f t="shared" si="3"/>
        <v>212797.75280898876</v>
      </c>
      <c r="E28" s="28">
        <f t="shared" si="3"/>
        <v>282404.49438202247</v>
      </c>
      <c r="F28" s="28">
        <f t="shared" si="3"/>
        <v>564808.98876404495</v>
      </c>
      <c r="G28" s="28">
        <f t="shared" si="3"/>
        <v>650325.84269662923</v>
      </c>
      <c r="H28" s="28">
        <f t="shared" si="3"/>
        <v>765674.15730337077</v>
      </c>
      <c r="I28" s="28">
        <f t="shared" si="3"/>
        <v>851191.01123595505</v>
      </c>
      <c r="J28" s="28">
        <f t="shared" si="3"/>
        <v>1485596.566523605</v>
      </c>
      <c r="K28" s="28">
        <f t="shared" si="3"/>
        <v>1706643.7768240343</v>
      </c>
      <c r="L28" s="28">
        <f t="shared" si="3"/>
        <v>2005356.2231759655</v>
      </c>
      <c r="M28" s="28">
        <f t="shared" si="3"/>
        <v>2226403.433476395</v>
      </c>
      <c r="N28" s="5"/>
      <c r="O28" s="5"/>
      <c r="P28" s="5"/>
      <c r="Q28" s="5"/>
    </row>
    <row r="29" spans="1:17">
      <c r="A29" s="5" t="s">
        <v>207</v>
      </c>
      <c r="B29" s="28">
        <f t="shared" ref="B29:M29" si="4">B28*B26</f>
        <v>3579.7752808988766</v>
      </c>
      <c r="C29" s="28">
        <f t="shared" si="4"/>
        <v>7060.1123595505624</v>
      </c>
      <c r="D29" s="28">
        <f t="shared" si="4"/>
        <v>10639.887640449439</v>
      </c>
      <c r="E29" s="28">
        <f t="shared" si="4"/>
        <v>14120.224719101125</v>
      </c>
      <c r="F29" s="28">
        <f t="shared" si="4"/>
        <v>28240.449438202249</v>
      </c>
      <c r="G29" s="28">
        <f t="shared" si="4"/>
        <v>32516.292134831463</v>
      </c>
      <c r="H29" s="28">
        <f t="shared" si="4"/>
        <v>38283.707865168537</v>
      </c>
      <c r="I29" s="28">
        <f t="shared" si="4"/>
        <v>42559.550561797754</v>
      </c>
      <c r="J29" s="28">
        <f t="shared" si="4"/>
        <v>74279.828326180257</v>
      </c>
      <c r="K29" s="28">
        <f t="shared" si="4"/>
        <v>85332.188841201714</v>
      </c>
      <c r="L29" s="28">
        <f t="shared" si="4"/>
        <v>100267.81115879829</v>
      </c>
      <c r="M29" s="28">
        <f t="shared" si="4"/>
        <v>111320.17167381976</v>
      </c>
      <c r="N29" s="5"/>
      <c r="O29" s="5"/>
      <c r="P29" s="5"/>
      <c r="Q29" s="5"/>
    </row>
    <row r="30" spans="1:17">
      <c r="A30" s="5" t="s">
        <v>211</v>
      </c>
      <c r="B30" s="28">
        <f t="shared" ref="B30:M30" si="5">B27+B29</f>
        <v>7179.7752808988771</v>
      </c>
      <c r="C30" s="28">
        <f t="shared" si="5"/>
        <v>14160.112359550563</v>
      </c>
      <c r="D30" s="28">
        <f t="shared" si="5"/>
        <v>21339.887640449437</v>
      </c>
      <c r="E30" s="28">
        <f t="shared" si="5"/>
        <v>28320.224719101127</v>
      </c>
      <c r="F30" s="28">
        <f t="shared" si="5"/>
        <v>56640.449438202253</v>
      </c>
      <c r="G30" s="28">
        <f t="shared" si="5"/>
        <v>65216.292134831463</v>
      </c>
      <c r="H30" s="28">
        <f t="shared" si="5"/>
        <v>76783.707865168544</v>
      </c>
      <c r="I30" s="28">
        <f t="shared" si="5"/>
        <v>85359.550561797747</v>
      </c>
      <c r="J30" s="28">
        <f t="shared" si="5"/>
        <v>148879.82832618026</v>
      </c>
      <c r="K30" s="28">
        <f t="shared" si="5"/>
        <v>171032.18884120171</v>
      </c>
      <c r="L30" s="28">
        <f t="shared" si="5"/>
        <v>200967.81115879829</v>
      </c>
      <c r="M30" s="28">
        <f t="shared" si="5"/>
        <v>223120.17167381977</v>
      </c>
      <c r="N30" s="5"/>
      <c r="O30" s="5"/>
      <c r="P30" s="5"/>
      <c r="Q30" s="5"/>
    </row>
    <row r="31" spans="1:17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>
      <c r="A33" s="56" t="s">
        <v>228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"/>
      <c r="O33" s="5"/>
      <c r="P33" s="5"/>
      <c r="Q33" s="5"/>
    </row>
    <row r="34" spans="1:17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"/>
      <c r="O34" s="5"/>
      <c r="P34" s="5"/>
      <c r="Q34" s="5"/>
    </row>
    <row r="35" spans="1:17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"/>
      <c r="O35" s="5"/>
      <c r="P35" s="5"/>
      <c r="Q35" s="5"/>
    </row>
    <row r="36" spans="1:17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</sheetData>
  <mergeCells count="3">
    <mergeCell ref="A1:Q1"/>
    <mergeCell ref="A33:M35"/>
    <mergeCell ref="O18:Q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5"/>
  <sheetViews>
    <sheetView workbookViewId="0"/>
  </sheetViews>
  <sheetFormatPr baseColWidth="10" defaultColWidth="8.83203125" defaultRowHeight="15"/>
  <cols>
    <col min="1" max="1" width="30" customWidth="1"/>
    <col min="2" max="2" width="46.1640625" customWidth="1"/>
    <col min="3" max="3" width="20.1640625" customWidth="1"/>
    <col min="4" max="4" width="18.1640625" customWidth="1"/>
    <col min="5" max="5" width="30" customWidth="1"/>
    <col min="6" max="8" width="16.6640625" customWidth="1"/>
    <col min="9" max="9" width="15.83203125" customWidth="1"/>
    <col min="10" max="11" width="16.6640625" customWidth="1"/>
    <col min="12" max="12" width="15.83203125" customWidth="1"/>
    <col min="13" max="13" width="16.6640625" customWidth="1"/>
  </cols>
  <sheetData>
    <row r="1" spans="1:17">
      <c r="A1" s="59" t="s">
        <v>229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17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>
      <c r="A3" s="30" t="s">
        <v>93</v>
      </c>
      <c r="B3" s="30" t="s">
        <v>70</v>
      </c>
      <c r="C3" s="30" t="s">
        <v>71</v>
      </c>
      <c r="D3" s="30" t="s">
        <v>72</v>
      </c>
      <c r="E3" s="30" t="s">
        <v>73</v>
      </c>
      <c r="F3" s="30" t="s">
        <v>74</v>
      </c>
      <c r="G3" s="30" t="s">
        <v>75</v>
      </c>
      <c r="H3" s="30" t="s">
        <v>76</v>
      </c>
      <c r="I3" s="30" t="s">
        <v>77</v>
      </c>
      <c r="J3" s="30" t="s">
        <v>78</v>
      </c>
      <c r="K3" s="30" t="s">
        <v>79</v>
      </c>
      <c r="L3" s="30" t="s">
        <v>80</v>
      </c>
      <c r="M3" s="30" t="s">
        <v>81</v>
      </c>
      <c r="N3" s="5"/>
      <c r="O3" s="5"/>
      <c r="P3" s="5"/>
      <c r="Q3" s="5"/>
    </row>
    <row r="4" spans="1:17">
      <c r="A4" s="5" t="s">
        <v>230</v>
      </c>
      <c r="B4" s="33">
        <f>Receita_v2!B30</f>
        <v>7179.7752808988771</v>
      </c>
      <c r="C4" s="33">
        <f>Receita_v2!C30</f>
        <v>14160.112359550563</v>
      </c>
      <c r="D4" s="33">
        <f>Receita_v2!D30</f>
        <v>21339.887640449437</v>
      </c>
      <c r="E4" s="33">
        <f>Receita_v2!E30</f>
        <v>28320.224719101127</v>
      </c>
      <c r="F4" s="33">
        <f>Receita_v2!F30</f>
        <v>56640.449438202253</v>
      </c>
      <c r="G4" s="33">
        <f>Receita_v2!G30</f>
        <v>65216.292134831463</v>
      </c>
      <c r="H4" s="33">
        <f>Receita_v2!H30</f>
        <v>76783.707865168544</v>
      </c>
      <c r="I4" s="33">
        <f>Receita_v2!I30</f>
        <v>85359.550561797747</v>
      </c>
      <c r="J4" s="33">
        <f>Receita_v2!J30</f>
        <v>148879.82832618026</v>
      </c>
      <c r="K4" s="33">
        <f>Receita_v2!K30</f>
        <v>171032.18884120171</v>
      </c>
      <c r="L4" s="33">
        <f>Receita_v2!L30</f>
        <v>200967.81115879829</v>
      </c>
      <c r="M4" s="33">
        <f>Receita_v2!M30</f>
        <v>223120.17167381977</v>
      </c>
      <c r="N4" s="5"/>
      <c r="O4" s="5"/>
      <c r="P4" s="5"/>
      <c r="Q4" s="5"/>
    </row>
    <row r="5" spans="1:17">
      <c r="A5" s="5" t="s">
        <v>231</v>
      </c>
      <c r="B5" s="33">
        <f>SUM(B4:B4)*4/1</f>
        <v>28719.101123595508</v>
      </c>
      <c r="C5" s="33">
        <f>SUM(B4:C4)*4/2</f>
        <v>42679.775280898881</v>
      </c>
      <c r="D5" s="33">
        <f>SUM(B4:D4)*4/3</f>
        <v>56906.3670411985</v>
      </c>
      <c r="E5" s="33">
        <f>SUM(B4:E4)*4/4</f>
        <v>71000</v>
      </c>
      <c r="F5" s="33">
        <f t="shared" ref="F5:M5" si="0">SUM(C4:F4)</f>
        <v>120460.67415730338</v>
      </c>
      <c r="G5" s="33">
        <f t="shared" si="0"/>
        <v>171516.85393258429</v>
      </c>
      <c r="H5" s="33">
        <f t="shared" si="0"/>
        <v>226960.67415730338</v>
      </c>
      <c r="I5" s="33">
        <f t="shared" si="0"/>
        <v>284000</v>
      </c>
      <c r="J5" s="33">
        <f t="shared" si="0"/>
        <v>376239.37888797803</v>
      </c>
      <c r="K5" s="33">
        <f t="shared" si="0"/>
        <v>482055.27559434826</v>
      </c>
      <c r="L5" s="33">
        <f t="shared" si="0"/>
        <v>606239.37888797803</v>
      </c>
      <c r="M5" s="33">
        <f t="shared" si="0"/>
        <v>744000</v>
      </c>
      <c r="N5" s="5"/>
      <c r="O5" s="5"/>
      <c r="P5" s="5"/>
      <c r="Q5" s="5"/>
    </row>
    <row r="6" spans="1:17">
      <c r="A6" s="5" t="s">
        <v>9</v>
      </c>
      <c r="B6" s="6">
        <f t="shared" ref="B6:M6" si="1">IF(B5&lt;=180000,6%,IF(B5&lt;=360000,11.2%,IF(B5&lt;=720000,13.5%,IF(B5&lt;=1800000,16%,IF(B5&lt;=3600000,21%,32.9%)))))</f>
        <v>0.06</v>
      </c>
      <c r="C6" s="6">
        <f t="shared" si="1"/>
        <v>0.06</v>
      </c>
      <c r="D6" s="6">
        <f t="shared" si="1"/>
        <v>0.06</v>
      </c>
      <c r="E6" s="6">
        <f t="shared" si="1"/>
        <v>0.06</v>
      </c>
      <c r="F6" s="6">
        <f t="shared" si="1"/>
        <v>0.06</v>
      </c>
      <c r="G6" s="6">
        <f t="shared" si="1"/>
        <v>0.06</v>
      </c>
      <c r="H6" s="6">
        <f t="shared" si="1"/>
        <v>0.11199999999999999</v>
      </c>
      <c r="I6" s="6">
        <f t="shared" si="1"/>
        <v>0.11199999999999999</v>
      </c>
      <c r="J6" s="6">
        <f t="shared" si="1"/>
        <v>0.13500000000000001</v>
      </c>
      <c r="K6" s="6">
        <f t="shared" si="1"/>
        <v>0.13500000000000001</v>
      </c>
      <c r="L6" s="6">
        <f t="shared" si="1"/>
        <v>0.13500000000000001</v>
      </c>
      <c r="M6" s="6">
        <f t="shared" si="1"/>
        <v>0.16</v>
      </c>
      <c r="N6" s="5"/>
      <c r="O6" s="5"/>
      <c r="P6" s="5"/>
      <c r="Q6" s="5"/>
    </row>
    <row r="7" spans="1:17">
      <c r="A7" s="5" t="s">
        <v>232</v>
      </c>
      <c r="B7" s="33">
        <f t="shared" ref="B7:M7" si="2">IF(B5&lt;=180000,0,IF(B5&lt;=360000,9360,IF(B5&lt;=720000,17640,IF(B5&lt;=1800000,35640,IF(B5&lt;=3600000,125640,648000)))))</f>
        <v>0</v>
      </c>
      <c r="C7" s="33">
        <f t="shared" si="2"/>
        <v>0</v>
      </c>
      <c r="D7" s="33">
        <f t="shared" si="2"/>
        <v>0</v>
      </c>
      <c r="E7" s="33">
        <f t="shared" si="2"/>
        <v>0</v>
      </c>
      <c r="F7" s="33">
        <f t="shared" si="2"/>
        <v>0</v>
      </c>
      <c r="G7" s="33">
        <f t="shared" si="2"/>
        <v>0</v>
      </c>
      <c r="H7" s="33">
        <f t="shared" si="2"/>
        <v>9360</v>
      </c>
      <c r="I7" s="33">
        <f t="shared" si="2"/>
        <v>9360</v>
      </c>
      <c r="J7" s="33">
        <f t="shared" si="2"/>
        <v>17640</v>
      </c>
      <c r="K7" s="33">
        <f t="shared" si="2"/>
        <v>17640</v>
      </c>
      <c r="L7" s="33">
        <f t="shared" si="2"/>
        <v>17640</v>
      </c>
      <c r="M7" s="33">
        <f t="shared" si="2"/>
        <v>35640</v>
      </c>
      <c r="N7" s="5"/>
      <c r="O7" s="5"/>
      <c r="P7" s="5"/>
      <c r="Q7" s="5"/>
    </row>
    <row r="8" spans="1:17">
      <c r="A8" s="5" t="s">
        <v>233</v>
      </c>
      <c r="B8" s="32">
        <f t="shared" ref="B8:M8" si="3">(B5*B6-B7)/B5</f>
        <v>0.06</v>
      </c>
      <c r="C8" s="32">
        <f t="shared" si="3"/>
        <v>0.06</v>
      </c>
      <c r="D8" s="32">
        <f t="shared" si="3"/>
        <v>0.06</v>
      </c>
      <c r="E8" s="32">
        <f t="shared" si="3"/>
        <v>0.06</v>
      </c>
      <c r="F8" s="32">
        <f t="shared" si="3"/>
        <v>0.06</v>
      </c>
      <c r="G8" s="32">
        <f t="shared" si="3"/>
        <v>0.06</v>
      </c>
      <c r="H8" s="32">
        <f t="shared" si="3"/>
        <v>7.075937523206019E-2</v>
      </c>
      <c r="I8" s="32">
        <f t="shared" si="3"/>
        <v>7.9042253521126746E-2</v>
      </c>
      <c r="J8" s="32">
        <f t="shared" si="3"/>
        <v>8.8114955557982266E-2</v>
      </c>
      <c r="K8" s="32">
        <f t="shared" si="3"/>
        <v>9.8406686135213792E-2</v>
      </c>
      <c r="L8" s="32">
        <f t="shared" si="3"/>
        <v>0.10590258301538087</v>
      </c>
      <c r="M8" s="32">
        <f t="shared" si="3"/>
        <v>0.11209677419354838</v>
      </c>
      <c r="N8" s="5"/>
      <c r="O8" s="5"/>
      <c r="P8" s="5"/>
      <c r="Q8" s="5"/>
    </row>
    <row r="9" spans="1:17">
      <c r="A9" s="5" t="s">
        <v>234</v>
      </c>
      <c r="B9" s="34">
        <f t="shared" ref="B9:M9" si="4">B4*B8</f>
        <v>430.7865168539326</v>
      </c>
      <c r="C9" s="34">
        <f t="shared" si="4"/>
        <v>849.60674157303379</v>
      </c>
      <c r="D9" s="34">
        <f t="shared" si="4"/>
        <v>1280.3932584269662</v>
      </c>
      <c r="E9" s="34">
        <f t="shared" si="4"/>
        <v>1699.2134831460676</v>
      </c>
      <c r="F9" s="34">
        <f t="shared" si="4"/>
        <v>3398.4269662921351</v>
      </c>
      <c r="G9" s="34">
        <f t="shared" si="4"/>
        <v>3912.9775280898875</v>
      </c>
      <c r="H9" s="34">
        <f t="shared" si="4"/>
        <v>5433.1671965403521</v>
      </c>
      <c r="I9" s="34">
        <f t="shared" si="4"/>
        <v>6747.0112359550549</v>
      </c>
      <c r="J9" s="34">
        <f t="shared" si="4"/>
        <v>13118.539456441402</v>
      </c>
      <c r="K9" s="34">
        <f t="shared" si="4"/>
        <v>16830.71092631475</v>
      </c>
      <c r="L9" s="34">
        <f t="shared" si="4"/>
        <v>21283.010304664022</v>
      </c>
      <c r="M9" s="34">
        <f t="shared" si="4"/>
        <v>25011.051502145925</v>
      </c>
      <c r="N9" s="5"/>
      <c r="O9" s="5"/>
      <c r="P9" s="5"/>
      <c r="Q9" s="5"/>
    </row>
    <row r="10" spans="1:17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29">
      <c r="A12" s="30" t="s">
        <v>83</v>
      </c>
      <c r="B12" s="30" t="s">
        <v>235</v>
      </c>
      <c r="C12" s="30" t="s">
        <v>236</v>
      </c>
      <c r="D12" s="30" t="s">
        <v>237</v>
      </c>
      <c r="E12" s="30" t="s">
        <v>86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>
      <c r="A13" s="5" t="s">
        <v>87</v>
      </c>
      <c r="B13" s="33">
        <f>SUM(B4:E4)</f>
        <v>71000</v>
      </c>
      <c r="C13" s="33">
        <f>SUM(B9:E9)</f>
        <v>4260</v>
      </c>
      <c r="D13" s="32">
        <f>C13/B13</f>
        <v>0.06</v>
      </c>
      <c r="E13" s="5" t="s">
        <v>238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>
      <c r="A14" s="5" t="s">
        <v>89</v>
      </c>
      <c r="B14" s="33">
        <f>SUM(F4:I4)</f>
        <v>284000</v>
      </c>
      <c r="C14" s="33">
        <f>SUM(F9:I9)</f>
        <v>19491.582926877429</v>
      </c>
      <c r="D14" s="32">
        <f>C14/B14</f>
        <v>6.8632334249568411E-2</v>
      </c>
      <c r="E14" s="5" t="s">
        <v>238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>
      <c r="A15" s="5" t="s">
        <v>90</v>
      </c>
      <c r="B15" s="33">
        <f>SUM(J4:M4)</f>
        <v>744000</v>
      </c>
      <c r="C15" s="33">
        <f>SUM(J9:M9)</f>
        <v>76243.312189566102</v>
      </c>
      <c r="D15" s="32">
        <f>C15/B15</f>
        <v>0.10247757014726627</v>
      </c>
      <c r="E15" s="5" t="s">
        <v>238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>
      <c r="A18" s="60" t="s">
        <v>239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5"/>
      <c r="O18" s="5"/>
      <c r="P18" s="5"/>
      <c r="Q18" s="5"/>
    </row>
    <row r="19" spans="1:17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5"/>
      <c r="O19" s="5"/>
      <c r="P19" s="5"/>
      <c r="Q19" s="5"/>
    </row>
    <row r="20" spans="1:17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5"/>
      <c r="O20" s="5"/>
      <c r="P20" s="5"/>
      <c r="Q20" s="5"/>
    </row>
    <row r="21" spans="1:17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5"/>
      <c r="O21" s="5"/>
      <c r="P21" s="5"/>
      <c r="Q21" s="5"/>
    </row>
    <row r="22" spans="1:17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>
      <c r="A23" s="30" t="s">
        <v>7</v>
      </c>
      <c r="B23" s="30" t="s">
        <v>240</v>
      </c>
      <c r="C23" s="30" t="s">
        <v>241</v>
      </c>
      <c r="D23" s="30"/>
      <c r="E23" s="30"/>
      <c r="F23" s="3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ht="29">
      <c r="A24" s="5" t="s">
        <v>242</v>
      </c>
      <c r="B24" s="5" t="s">
        <v>243</v>
      </c>
      <c r="C24" s="5" t="s">
        <v>244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29">
      <c r="A25" s="5" t="s">
        <v>245</v>
      </c>
      <c r="B25" s="5" t="s">
        <v>246</v>
      </c>
      <c r="C25" s="5" t="s">
        <v>247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5" t="s">
        <v>248</v>
      </c>
      <c r="B26" s="5" t="s">
        <v>249</v>
      </c>
      <c r="C26" s="5" t="s">
        <v>250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ht="29">
      <c r="A27" s="5" t="s">
        <v>251</v>
      </c>
      <c r="B27" s="5" t="s">
        <v>252</v>
      </c>
      <c r="C27" s="5" t="s">
        <v>253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29">
      <c r="A28" s="5" t="s">
        <v>254</v>
      </c>
      <c r="B28" s="5" t="s">
        <v>255</v>
      </c>
      <c r="C28" s="5" t="s">
        <v>256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</sheetData>
  <mergeCells count="2">
    <mergeCell ref="A1:Q1"/>
    <mergeCell ref="A18:M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45"/>
  <sheetViews>
    <sheetView workbookViewId="0"/>
  </sheetViews>
  <sheetFormatPr baseColWidth="10" defaultColWidth="8.83203125" defaultRowHeight="15"/>
  <cols>
    <col min="1" max="1" width="28" customWidth="1"/>
    <col min="2" max="4" width="10.83203125" customWidth="1"/>
    <col min="5" max="5" width="16.6640625" customWidth="1"/>
    <col min="6" max="6" width="22" customWidth="1"/>
    <col min="7" max="7" width="19.6640625" customWidth="1"/>
    <col min="8" max="11" width="10.83203125" customWidth="1"/>
    <col min="12" max="12" width="11.6640625" customWidth="1"/>
    <col min="13" max="13" width="10.83203125" customWidth="1"/>
    <col min="14" max="14" width="8.6640625" customWidth="1"/>
    <col min="15" max="16" width="5.83203125" customWidth="1"/>
    <col min="17" max="17" width="8" customWidth="1"/>
  </cols>
  <sheetData>
    <row r="1" spans="1:17">
      <c r="A1" s="61" t="s">
        <v>257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</row>
    <row r="2" spans="1:17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29">
      <c r="A3" s="35" t="s">
        <v>146</v>
      </c>
      <c r="B3" s="35" t="s">
        <v>134</v>
      </c>
      <c r="C3" s="35" t="s">
        <v>135</v>
      </c>
      <c r="D3" s="35" t="s">
        <v>136</v>
      </c>
      <c r="E3" s="35" t="s">
        <v>4</v>
      </c>
      <c r="F3" s="35" t="s">
        <v>258</v>
      </c>
      <c r="G3" s="35" t="s">
        <v>85</v>
      </c>
      <c r="H3" s="5"/>
      <c r="I3" s="35" t="s">
        <v>259</v>
      </c>
      <c r="J3" s="35" t="s">
        <v>260</v>
      </c>
      <c r="K3" s="35" t="s">
        <v>261</v>
      </c>
      <c r="L3" s="35" t="s">
        <v>262</v>
      </c>
      <c r="M3" s="35" t="s">
        <v>263</v>
      </c>
      <c r="N3" s="35" t="s">
        <v>264</v>
      </c>
      <c r="O3" s="35" t="s">
        <v>265</v>
      </c>
      <c r="P3" s="35" t="s">
        <v>266</v>
      </c>
      <c r="Q3" s="35" t="s">
        <v>85</v>
      </c>
    </row>
    <row r="4" spans="1:17" ht="29">
      <c r="A4" s="5" t="s">
        <v>267</v>
      </c>
      <c r="B4" s="36">
        <v>0.7</v>
      </c>
      <c r="C4" s="36">
        <v>1</v>
      </c>
      <c r="D4" s="36">
        <v>1.2</v>
      </c>
      <c r="E4" s="5" t="s">
        <v>181</v>
      </c>
      <c r="F4" s="5" t="s">
        <v>268</v>
      </c>
      <c r="G4" s="5" t="s">
        <v>157</v>
      </c>
      <c r="H4" s="5"/>
      <c r="I4" s="5" t="s">
        <v>134</v>
      </c>
      <c r="J4" s="8">
        <f>E12</f>
        <v>356.11498455650673</v>
      </c>
      <c r="K4" s="8">
        <f>M25+E12</f>
        <v>18.149999999999977</v>
      </c>
      <c r="L4" s="8">
        <f>F12</f>
        <v>804.03498455650674</v>
      </c>
      <c r="M4" s="8">
        <f>M26+F12</f>
        <v>59.07000000000005</v>
      </c>
      <c r="N4" s="8">
        <f>SUM(B12:D12)/1000</f>
        <v>519.39289500000007</v>
      </c>
      <c r="O4" s="8">
        <f>SUM(B23:M23)</f>
        <v>-337.96498455650675</v>
      </c>
      <c r="P4" s="8">
        <f>SUM(B24:M24)</f>
        <v>-744.96498455650669</v>
      </c>
      <c r="Q4" s="5" t="str">
        <f>IF(M4&gt;0,"Sobrevive","Rever")</f>
        <v>Sobrevive</v>
      </c>
    </row>
    <row r="5" spans="1:17" ht="29">
      <c r="A5" s="5" t="s">
        <v>269</v>
      </c>
      <c r="B5" s="36">
        <v>0.75</v>
      </c>
      <c r="C5" s="36">
        <v>1</v>
      </c>
      <c r="D5" s="36">
        <v>1.25</v>
      </c>
      <c r="E5" s="5" t="s">
        <v>181</v>
      </c>
      <c r="F5" s="5" t="s">
        <v>270</v>
      </c>
      <c r="G5" s="5" t="s">
        <v>157</v>
      </c>
      <c r="H5" s="5"/>
      <c r="I5" s="5" t="s">
        <v>135</v>
      </c>
      <c r="J5" s="8">
        <f>E13</f>
        <v>47.757150585375484</v>
      </c>
      <c r="K5" s="8">
        <f>M30+E13</f>
        <v>292.85428546893218</v>
      </c>
      <c r="L5" s="8">
        <f>F13</f>
        <v>339.71035936479058</v>
      </c>
      <c r="M5" s="8">
        <f>M31+F13</f>
        <v>214.80749424834724</v>
      </c>
      <c r="N5" s="8">
        <f>SUM(B13:D13)/1000</f>
        <v>1099</v>
      </c>
      <c r="O5" s="8">
        <f>SUM(B28:M28)</f>
        <v>245.09713488355666</v>
      </c>
      <c r="P5" s="8">
        <f>SUM(B29:M29)</f>
        <v>-124.90286511644334</v>
      </c>
      <c r="Q5" s="5" t="str">
        <f>IF(M5&gt;0,"Sobrevive","Rever")</f>
        <v>Sobrevive</v>
      </c>
    </row>
    <row r="6" spans="1:17" ht="29">
      <c r="A6" s="5" t="s">
        <v>271</v>
      </c>
      <c r="B6" s="36">
        <v>0.6</v>
      </c>
      <c r="C6" s="36">
        <v>1</v>
      </c>
      <c r="D6" s="36">
        <v>1.2</v>
      </c>
      <c r="E6" s="5" t="s">
        <v>181</v>
      </c>
      <c r="F6" s="5" t="s">
        <v>272</v>
      </c>
      <c r="G6" s="5" t="s">
        <v>157</v>
      </c>
      <c r="H6" s="5"/>
      <c r="I6" s="5" t="s">
        <v>136</v>
      </c>
      <c r="J6" s="8">
        <f>E14</f>
        <v>29.751076189999999</v>
      </c>
      <c r="K6" s="8">
        <f>M35+E14</f>
        <v>771.41358597512135</v>
      </c>
      <c r="L6" s="8">
        <f>F14</f>
        <v>191.96516621949712</v>
      </c>
      <c r="M6" s="8">
        <f>M36+F14</f>
        <v>582.12767600461825</v>
      </c>
      <c r="N6" s="8">
        <f>SUM(B14:D14)/1000</f>
        <v>1615.5959399999999</v>
      </c>
      <c r="O6" s="8">
        <f>SUM(B33:M33)</f>
        <v>741.6625097851213</v>
      </c>
      <c r="P6" s="8">
        <f>SUM(B34:M34)</f>
        <v>390.16250978512119</v>
      </c>
      <c r="Q6" s="5" t="str">
        <f>IF(M6&gt;0,"Sobrevive","Rever")</f>
        <v>Sobrevive</v>
      </c>
    </row>
    <row r="7" spans="1:17" ht="29">
      <c r="A7" s="5" t="s">
        <v>273</v>
      </c>
      <c r="B7" s="36">
        <v>1.1000000000000001</v>
      </c>
      <c r="C7" s="36">
        <v>1</v>
      </c>
      <c r="D7" s="36">
        <v>0.95</v>
      </c>
      <c r="E7" s="5" t="s">
        <v>181</v>
      </c>
      <c r="F7" s="5" t="s">
        <v>274</v>
      </c>
      <c r="G7" s="5" t="s">
        <v>157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29">
      <c r="A8" s="5" t="s">
        <v>26</v>
      </c>
      <c r="B8" s="3">
        <v>0.02</v>
      </c>
      <c r="C8" s="3">
        <v>0.01</v>
      </c>
      <c r="D8" s="3">
        <v>5.0000000000000001E-3</v>
      </c>
      <c r="E8" s="5" t="s">
        <v>27</v>
      </c>
      <c r="F8" s="5" t="s">
        <v>275</v>
      </c>
      <c r="G8" s="5" t="s">
        <v>157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29">
      <c r="A9" s="5"/>
      <c r="B9" s="5"/>
      <c r="C9" s="5"/>
      <c r="D9" s="5"/>
      <c r="E9" s="5"/>
      <c r="F9" s="5"/>
      <c r="G9" s="5"/>
      <c r="H9" s="5"/>
      <c r="I9" s="5" t="s">
        <v>259</v>
      </c>
      <c r="J9" s="5" t="s">
        <v>260</v>
      </c>
      <c r="K9" s="5" t="s">
        <v>262</v>
      </c>
      <c r="L9" s="5" t="s">
        <v>276</v>
      </c>
      <c r="M9" s="5"/>
      <c r="N9" s="5"/>
      <c r="O9" s="5"/>
      <c r="P9" s="5"/>
      <c r="Q9" s="5"/>
    </row>
    <row r="10" spans="1:17">
      <c r="A10" s="5"/>
      <c r="B10" s="5"/>
      <c r="C10" s="5"/>
      <c r="D10" s="5"/>
      <c r="E10" s="5"/>
      <c r="F10" s="5"/>
      <c r="G10" s="5"/>
      <c r="H10" s="5"/>
      <c r="I10" s="5" t="s">
        <v>134</v>
      </c>
      <c r="J10" s="5">
        <f>J4</f>
        <v>356.11498455650673</v>
      </c>
      <c r="K10" s="5">
        <f>L4</f>
        <v>804.03498455650674</v>
      </c>
      <c r="L10" s="5">
        <f>N4</f>
        <v>519.39289500000007</v>
      </c>
      <c r="M10" s="5"/>
      <c r="N10" s="5"/>
      <c r="O10" s="5"/>
      <c r="P10" s="5"/>
      <c r="Q10" s="5"/>
    </row>
    <row r="11" spans="1:17">
      <c r="A11" s="35" t="s">
        <v>259</v>
      </c>
      <c r="B11" s="35" t="s">
        <v>163</v>
      </c>
      <c r="C11" s="35" t="s">
        <v>167</v>
      </c>
      <c r="D11" s="35" t="s">
        <v>173</v>
      </c>
      <c r="E11" s="35" t="s">
        <v>260</v>
      </c>
      <c r="F11" s="35" t="s">
        <v>262</v>
      </c>
      <c r="G11" s="35" t="s">
        <v>277</v>
      </c>
      <c r="H11" s="5"/>
      <c r="I11" s="5" t="s">
        <v>135</v>
      </c>
      <c r="J11" s="5">
        <f>J5</f>
        <v>47.757150585375484</v>
      </c>
      <c r="K11" s="5">
        <f>L5</f>
        <v>339.71035936479058</v>
      </c>
      <c r="L11" s="5">
        <f>N5</f>
        <v>1099</v>
      </c>
      <c r="M11" s="5"/>
      <c r="N11" s="5"/>
      <c r="O11" s="5"/>
      <c r="P11" s="5"/>
      <c r="Q11" s="5"/>
    </row>
    <row r="12" spans="1:17">
      <c r="A12" s="5" t="s">
        <v>134</v>
      </c>
      <c r="B12" s="33">
        <f>71000*$B$4*(0.501*$B$5+0.499*$B$6)</f>
        <v>33554.955000000002</v>
      </c>
      <c r="C12" s="33">
        <f>284000*$B$4*(0.501*$B$5+0.499*$B$6)</f>
        <v>134219.82</v>
      </c>
      <c r="D12" s="33">
        <f>744000*$B$4*(0.501*$B$5+0.499*$B$6)</f>
        <v>351618.12</v>
      </c>
      <c r="E12" s="37">
        <f>-MIN(0,MIN(B25:M25))+16.5*$B$7</f>
        <v>356.11498455650673</v>
      </c>
      <c r="F12" s="37">
        <f>-MIN(0,MIN(B26:M26))+53.7*$B$7</f>
        <v>804.03498455650674</v>
      </c>
      <c r="G12" s="5" t="str">
        <f>IF(F12&gt;500,"Capital intensivo","Dentro da faixa analisável")</f>
        <v>Capital intensivo</v>
      </c>
      <c r="H12" s="5"/>
      <c r="I12" s="5" t="s">
        <v>136</v>
      </c>
      <c r="J12" s="5">
        <f>J6</f>
        <v>29.751076189999999</v>
      </c>
      <c r="K12" s="5">
        <f>L6</f>
        <v>191.96516621949712</v>
      </c>
      <c r="L12" s="5">
        <f>N6</f>
        <v>1615.5959399999999</v>
      </c>
      <c r="M12" s="5"/>
      <c r="N12" s="5"/>
      <c r="O12" s="5"/>
      <c r="P12" s="5"/>
      <c r="Q12" s="5"/>
    </row>
    <row r="13" spans="1:17" ht="29">
      <c r="A13" s="5" t="s">
        <v>135</v>
      </c>
      <c r="B13" s="33">
        <f>71000*$C$4*(0.501*$C$5+0.499*$C$6)</f>
        <v>71000</v>
      </c>
      <c r="C13" s="33">
        <f>284000*$C$4*(0.501*$C$5+0.499*$C$6)</f>
        <v>284000</v>
      </c>
      <c r="D13" s="33">
        <f>744000*$C$4*(0.501*$C$5+0.499*$C$6)</f>
        <v>744000</v>
      </c>
      <c r="E13" s="37">
        <f>-MIN(0,MIN(B30:M30))+16.5*$C$7</f>
        <v>47.757150585375484</v>
      </c>
      <c r="F13" s="37">
        <f>-MIN(0,MIN(B31:M31))+53.7*$C$7</f>
        <v>339.71035936479058</v>
      </c>
      <c r="G13" s="5" t="str">
        <f>IF(F13&gt;500,"Capital intensivo","Dentro da faixa analisável")</f>
        <v>Dentro da faixa analisável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ht="29">
      <c r="A14" s="5" t="s">
        <v>136</v>
      </c>
      <c r="B14" s="33">
        <f>71000*$D$4*(0.501*$D$5+0.499*$D$6)</f>
        <v>104374.26</v>
      </c>
      <c r="C14" s="33">
        <f>284000*$D$4*(0.501*$D$5+0.499*$D$6)</f>
        <v>417497.04</v>
      </c>
      <c r="D14" s="33">
        <f>744000*$D$4*(0.501*$D$5+0.499*$D$6)</f>
        <v>1093724.6399999999</v>
      </c>
      <c r="E14" s="37">
        <f>-MIN(0,MIN(B35:M35))+16.5*$D$7</f>
        <v>29.751076189999999</v>
      </c>
      <c r="F14" s="37">
        <f>-MIN(0,MIN(B36:M36))+53.7*$D$7</f>
        <v>191.96516621949712</v>
      </c>
      <c r="G14" s="5" t="str">
        <f>IF(F14&gt;500,"Capital intensivo","Dentro da faixa analisável")</f>
        <v>Dentro da faixa analisável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>
      <c r="A17" s="62" t="s">
        <v>278</v>
      </c>
      <c r="B17" s="62"/>
      <c r="C17" s="62"/>
      <c r="D17" s="62"/>
      <c r="E17" s="62"/>
      <c r="F17" s="62"/>
      <c r="G17" s="62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>
      <c r="A18" s="62"/>
      <c r="B18" s="62"/>
      <c r="C18" s="62"/>
      <c r="D18" s="62"/>
      <c r="E18" s="62"/>
      <c r="F18" s="62"/>
      <c r="G18" s="62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62"/>
      <c r="B19" s="62"/>
      <c r="C19" s="62"/>
      <c r="D19" s="62"/>
      <c r="E19" s="62"/>
      <c r="F19" s="62"/>
      <c r="G19" s="62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>
      <c r="A22" s="38" t="s">
        <v>134</v>
      </c>
      <c r="B22" s="38" t="s">
        <v>70</v>
      </c>
      <c r="C22" s="38" t="s">
        <v>71</v>
      </c>
      <c r="D22" s="38" t="s">
        <v>72</v>
      </c>
      <c r="E22" s="38" t="s">
        <v>73</v>
      </c>
      <c r="F22" s="38" t="s">
        <v>74</v>
      </c>
      <c r="G22" s="38" t="s">
        <v>75</v>
      </c>
      <c r="H22" s="38" t="s">
        <v>76</v>
      </c>
      <c r="I22" s="38" t="s">
        <v>77</v>
      </c>
      <c r="J22" s="38" t="s">
        <v>78</v>
      </c>
      <c r="K22" s="38" t="s">
        <v>79</v>
      </c>
      <c r="L22" s="38" t="s">
        <v>80</v>
      </c>
      <c r="M22" s="38" t="s">
        <v>81</v>
      </c>
      <c r="N22" s="5"/>
      <c r="O22" s="5"/>
      <c r="P22" s="5"/>
      <c r="Q22" s="5"/>
    </row>
    <row r="23" spans="1:17">
      <c r="A23" s="5" t="s">
        <v>265</v>
      </c>
      <c r="B23" s="5">
        <f>(B12*0.1-(B12*0.1*0.501*$B$5/(0.501*$B$5+0.499*$B$6)*3%)-(B12*0.1*$B$8)-(B12*0.1*0.06)-(66000/4*$B$7)-8000)/1000</f>
        <v>-23.118968464999998</v>
      </c>
      <c r="C23" s="5">
        <f>(B12*0.2-(B12*0.2*0.501*$B$5/(0.501*$B$5+0.499*$B$6)*3%)-(B12*0.2*$B$8)-(B12*0.2*0.06)-(66000/4*$B$7)-0)/1000</f>
        <v>-12.08793693</v>
      </c>
      <c r="D23" s="5">
        <f>(B12*0.3-(B12*0.3*0.501*$B$5/(0.501*$B$5+0.499*$B$6)*3%)-(B12*0.3*$B$8)-(B12*0.3*0.06)-(66000/4*$B$7)-0)/1000</f>
        <v>-9.0569053949999976</v>
      </c>
      <c r="E23" s="5">
        <f>(B12*0.4-(B12*0.4*0.501*$B$5/(0.501*$B$5+0.499*$B$6)*3%)-(B12*0.4*$B$8)-(B12*0.4*0.06)-(66000/4*$B$7)-0)/1000</f>
        <v>-6.0258738599999981</v>
      </c>
      <c r="F23" s="5">
        <f>(C12*0.2-(C12*0.2*0.501*$B$5/(0.501*$B$5+0.499*$B$6)*3%)-(C12*0.2*$B$8)-(C12*0.2*0.0686323342495684)-(198800/4*$B$7)-24000)/1000</f>
        <v>-54.653473789831381</v>
      </c>
      <c r="G23" s="5">
        <f>(C12*0.23-(C12*0.23*0.501*$B$5/(0.501*$B$5+0.499*$B$6)*3%)-(C12*0.23*$B$8)-(C12*0.23*0.0686323342495684)-(198800/4*$B$7)-0)/1000</f>
        <v>-27.050994858306094</v>
      </c>
      <c r="H23" s="5">
        <f>(C12*0.27-(C12*0.27*0.501*$B$5/(0.501*$B$5+0.499*$B$6)*3%)-(C12*0.27*$B$8)-(C12*0.27*0.0686323342495684)-(198800/4*$B$7)-0)/1000</f>
        <v>-22.247689616272364</v>
      </c>
      <c r="I23" s="5">
        <f>(C12*0.3-(C12*0.3*0.501*$B$5/(0.501*$B$5+0.499*$B$6)*3%)-(C12*0.3*$B$8)-(C12*0.3*0.0686323342495684)-(198800/4*$B$7)-0)/1000</f>
        <v>-18.64521068474707</v>
      </c>
      <c r="J23" s="5">
        <f>(D12*0.2-(D12*0.2*0.501*$B$5/(0.501*$B$5+0.499*$B$6)*3%)-(D12*0.2*$B$8)-(D12*0.2*0.102477570147266)-(381600/4*$B$7)-48000)/1000</f>
        <v>-92.403586191469984</v>
      </c>
      <c r="K23" s="5">
        <f>(D12*0.23-(D12*0.23*0.501*$B$5/(0.501*$B$5+0.499*$B$6)*3%)-(D12*0.23*$B$8)-(D12*0.23*0.102477570147266)-(381600/4*$B$7)-0)/1000</f>
        <v>-35.323124120190478</v>
      </c>
      <c r="L23" s="5">
        <f>(D12*0.27-(D12*0.27*0.501*$B$5/(0.501*$B$5+0.499*$B$6)*3%)-(D12*0.27*$B$8)-(D12*0.27*0.102477570147266)-(381600/4*$B$7)-0)/1000</f>
        <v>-23.215841358484454</v>
      </c>
      <c r="M23" s="5">
        <f>(D12*0.3-(D12*0.3*0.501*$B$5/(0.501*$B$5+0.499*$B$6)*3%)-(D12*0.3*$B$8)-(D12*0.3*0.102477570147266)-(381600/4*$B$7)-0)/1000</f>
        <v>-14.135379287204952</v>
      </c>
      <c r="N23" s="5"/>
      <c r="O23" s="5"/>
      <c r="P23" s="5"/>
      <c r="Q23" s="5"/>
    </row>
    <row r="24" spans="1:17">
      <c r="A24" s="5" t="s">
        <v>266</v>
      </c>
      <c r="B24" s="5">
        <f>(B12*0.1-(B12*0.1*0.501*$B$5/(0.501*$B$5+0.499*$B$6)*3%)-(B12*0.1*$B$8)-(B12*0.1*0.06)-(214800/4*$B$7)-8000)/1000</f>
        <v>-64.038968465000011</v>
      </c>
      <c r="C24" s="5">
        <f>(B12*0.2-(B12*0.2*0.501*$B$5/(0.501*$B$5+0.499*$B$6)*3%)-(B12*0.2*$B$8)-(B12*0.2*0.06)-(214800/4*$B$7)-0)/1000</f>
        <v>-53.007936930000007</v>
      </c>
      <c r="D24" s="5">
        <f>(B12*0.3-(B12*0.3*0.501*$B$5/(0.501*$B$5+0.499*$B$6)*3%)-(B12*0.3*$B$8)-(B12*0.3*0.06)-(214800/4*$B$7)-0)/1000</f>
        <v>-49.97690539500001</v>
      </c>
      <c r="E24" s="5">
        <f>(B12*0.4-(B12*0.4*0.501*$B$5/(0.501*$B$5+0.499*$B$6)*3%)-(B12*0.4*$B$8)-(B12*0.4*0.06)-(214800/4*$B$7)-0)/1000</f>
        <v>-46.945873860000006</v>
      </c>
      <c r="F24" s="5">
        <f>(C12*0.2-(C12*0.2*0.501*$B$5/(0.501*$B$5+0.499*$B$6)*3%)-(C12*0.2*$B$8)-(C12*0.2*0.0686323342495684)-(324000/4*$B$7)-24000)/1000</f>
        <v>-89.083473789831373</v>
      </c>
      <c r="G24" s="5">
        <f>(C12*0.23-(C12*0.23*0.501*$B$5/(0.501*$B$5+0.499*$B$6)*3%)-(C12*0.23*$B$8)-(C12*0.23*0.0686323342495684)-(324000/4*$B$7)-0)/1000</f>
        <v>-61.48099485830609</v>
      </c>
      <c r="H24" s="5">
        <f>(C12*0.27-(C12*0.27*0.501*$B$5/(0.501*$B$5+0.499*$B$6)*3%)-(C12*0.27*$B$8)-(C12*0.27*0.0686323342495684)-(324000/4*$B$7)-0)/1000</f>
        <v>-56.67768961627236</v>
      </c>
      <c r="I24" s="5">
        <f>(C12*0.3-(C12*0.3*0.501*$B$5/(0.501*$B$5+0.499*$B$6)*3%)-(C12*0.3*$B$8)-(C12*0.3*0.0686323342495684)-(324000/4*$B$7)-0)/1000</f>
        <v>-53.075210684747063</v>
      </c>
      <c r="J24" s="5">
        <f>(D12*0.2-(D12*0.2*0.501*$B$5/(0.501*$B$5+0.499*$B$6)*3%)-(D12*0.2*$B$8)-(D12*0.2*0.102477570147266)-(477600/4*$B$7)-48000)/1000</f>
        <v>-118.80358619146995</v>
      </c>
      <c r="K24" s="5">
        <f>(D12*0.23-(D12*0.23*0.501*$B$5/(0.501*$B$5+0.499*$B$6)*3%)-(D12*0.23*$B$8)-(D12*0.23*0.102477570147266)-(477600/4*$B$7)-0)/1000</f>
        <v>-61.723124120190462</v>
      </c>
      <c r="L24" s="5">
        <f>(D12*0.27-(D12*0.27*0.501*$B$5/(0.501*$B$5+0.499*$B$6)*3%)-(D12*0.27*$B$8)-(D12*0.27*0.102477570147266)-(477600/4*$B$7)-0)/1000</f>
        <v>-49.615841358484438</v>
      </c>
      <c r="M24" s="5">
        <f>(D12*0.3-(D12*0.3*0.501*$B$5/(0.501*$B$5+0.499*$B$6)*3%)-(D12*0.3*$B$8)-(D12*0.3*0.102477570147266)-(477600/4*$B$7)-0)/1000</f>
        <v>-40.53537928720494</v>
      </c>
      <c r="N24" s="5"/>
      <c r="O24" s="5"/>
      <c r="P24" s="5"/>
      <c r="Q24" s="5"/>
    </row>
    <row r="25" spans="1:17">
      <c r="A25" s="5" t="s">
        <v>279</v>
      </c>
      <c r="B25" s="5">
        <f>B23</f>
        <v>-23.118968464999998</v>
      </c>
      <c r="C25" s="5">
        <f t="shared" ref="C25:M25" si="0">B25+C23</f>
        <v>-35.206905395</v>
      </c>
      <c r="D25" s="5">
        <f t="shared" si="0"/>
        <v>-44.263810789999994</v>
      </c>
      <c r="E25" s="5">
        <f t="shared" si="0"/>
        <v>-50.289684649999991</v>
      </c>
      <c r="F25" s="5">
        <f t="shared" si="0"/>
        <v>-104.94315843983136</v>
      </c>
      <c r="G25" s="5">
        <f t="shared" si="0"/>
        <v>-131.99415329813746</v>
      </c>
      <c r="H25" s="5">
        <f t="shared" si="0"/>
        <v>-154.24184291440983</v>
      </c>
      <c r="I25" s="5">
        <f t="shared" si="0"/>
        <v>-172.8870535991569</v>
      </c>
      <c r="J25" s="5">
        <f t="shared" si="0"/>
        <v>-265.29063979062687</v>
      </c>
      <c r="K25" s="5">
        <f t="shared" si="0"/>
        <v>-300.61376391081734</v>
      </c>
      <c r="L25" s="5">
        <f t="shared" si="0"/>
        <v>-323.82960526930179</v>
      </c>
      <c r="M25" s="5">
        <f t="shared" si="0"/>
        <v>-337.96498455650675</v>
      </c>
      <c r="N25" s="5"/>
      <c r="O25" s="5"/>
      <c r="P25" s="5"/>
      <c r="Q25" s="5"/>
    </row>
    <row r="26" spans="1:17">
      <c r="A26" s="5" t="s">
        <v>280</v>
      </c>
      <c r="B26" s="5">
        <f>B24</f>
        <v>-64.038968465000011</v>
      </c>
      <c r="C26" s="5">
        <f t="shared" ref="C26:M26" si="1">B26+C24</f>
        <v>-117.04690539500001</v>
      </c>
      <c r="D26" s="5">
        <f t="shared" si="1"/>
        <v>-167.02381079000003</v>
      </c>
      <c r="E26" s="5">
        <f t="shared" si="1"/>
        <v>-213.96968465000003</v>
      </c>
      <c r="F26" s="5">
        <f t="shared" si="1"/>
        <v>-303.05315843983141</v>
      </c>
      <c r="G26" s="5">
        <f t="shared" si="1"/>
        <v>-364.53415329813748</v>
      </c>
      <c r="H26" s="5">
        <f t="shared" si="1"/>
        <v>-421.21184291440983</v>
      </c>
      <c r="I26" s="5">
        <f t="shared" si="1"/>
        <v>-474.28705359915688</v>
      </c>
      <c r="J26" s="5">
        <f t="shared" si="1"/>
        <v>-593.09063979062682</v>
      </c>
      <c r="K26" s="5">
        <f t="shared" si="1"/>
        <v>-654.81376391081733</v>
      </c>
      <c r="L26" s="5">
        <f t="shared" si="1"/>
        <v>-704.42960526930176</v>
      </c>
      <c r="M26" s="5">
        <f t="shared" si="1"/>
        <v>-744.96498455650669</v>
      </c>
      <c r="N26" s="5"/>
      <c r="O26" s="5"/>
      <c r="P26" s="5"/>
      <c r="Q26" s="5"/>
    </row>
    <row r="27" spans="1:17">
      <c r="A27" s="38" t="s">
        <v>135</v>
      </c>
      <c r="B27" s="38" t="s">
        <v>70</v>
      </c>
      <c r="C27" s="38" t="s">
        <v>71</v>
      </c>
      <c r="D27" s="38" t="s">
        <v>72</v>
      </c>
      <c r="E27" s="38" t="s">
        <v>73</v>
      </c>
      <c r="F27" s="38" t="s">
        <v>74</v>
      </c>
      <c r="G27" s="38" t="s">
        <v>75</v>
      </c>
      <c r="H27" s="38" t="s">
        <v>76</v>
      </c>
      <c r="I27" s="38" t="s">
        <v>77</v>
      </c>
      <c r="J27" s="38" t="s">
        <v>78</v>
      </c>
      <c r="K27" s="38" t="s">
        <v>79</v>
      </c>
      <c r="L27" s="38" t="s">
        <v>80</v>
      </c>
      <c r="M27" s="38" t="s">
        <v>81</v>
      </c>
      <c r="N27" s="5"/>
      <c r="O27" s="5"/>
      <c r="P27" s="5"/>
      <c r="Q27" s="5"/>
    </row>
    <row r="28" spans="1:17">
      <c r="A28" s="5" t="s">
        <v>265</v>
      </c>
      <c r="B28" s="5">
        <f>(B13*0.1-(B13*0.1*0.501*$C$5/(0.501*$C$5+0.499*$C$6)*3%)-(B13*0.1*$C$8)-(B13*0.1*0.06)-(66000/4*$C$7)-8000)/1000</f>
        <v>-18.003713000000001</v>
      </c>
      <c r="C28" s="5">
        <f>(B13*0.2-(B13*0.2*0.501*$C$5/(0.501*$C$5+0.499*$C$6)*3%)-(B13*0.2*$C$8)-(B13*0.2*0.06)-(66000/4*$C$7)-0)/1000</f>
        <v>-3.5074259999999993</v>
      </c>
      <c r="D28" s="5">
        <f>(B13*0.3-(B13*0.3*0.501*$C$5/(0.501*$C$5+0.499*$C$6)*3%)-(B13*0.3*$C$8)-(B13*0.3*0.06)-(66000/4*$C$7)-0)/1000</f>
        <v>2.9888610000000009</v>
      </c>
      <c r="E28" s="5">
        <f>(B13*0.4-(B13*0.4*0.501*$C$5/(0.501*$C$5+0.499*$C$6)*3%)-(B13*0.4*$C$8)-(B13*0.4*0.06)-(66000/4*$C$7)-0)/1000</f>
        <v>9.4851480000000006</v>
      </c>
      <c r="F28" s="5">
        <f>(C13*0.2-(C13*0.2*0.501*$C$5/(0.501*$C$5+0.499*$C$6)*3%)-(C13*0.2*$C$8)-(C13*0.2*0.0686323342495684)-(198800/4*$C$7)-24000)/1000</f>
        <v>-22.220020585375483</v>
      </c>
      <c r="G28" s="5">
        <f>(C13*0.23-(C13*0.23*0.501*$C$5/(0.501*$C$5+0.499*$C$6)*3%)-(C13*0.23*$C$8)-(C13*0.23*0.0686323342495684)-(198800/4*$C$7)-0)/1000</f>
        <v>9.5019763268182</v>
      </c>
      <c r="H28" s="5">
        <f>(C13*0.27-(C13*0.27*0.501*$C$5/(0.501*$C$5+0.499*$C$6)*3%)-(C13*0.27*$C$8)-(C13*0.27*0.0686323342495684)-(198800/4*$C$7)-0)/1000</f>
        <v>19.797972209743094</v>
      </c>
      <c r="I28" s="5">
        <f>(C13*0.3-(C13*0.3*0.501*$C$5/(0.501*$C$5+0.499*$C$6)*3%)-(C13*0.3*$C$8)-(C13*0.3*0.0686323342495684)-(198800/4*$C$7)-0)/1000</f>
        <v>27.519969121936782</v>
      </c>
      <c r="J28" s="5">
        <f>(D13*0.2-(D13*0.2*0.501*$C$5/(0.501*$C$5+0.499*$C$6)*3%)-(D13*0.2*$C$8)-(D13*0.2*0.102477570147266)-(381600/4*$C$7)-48000)/1000</f>
        <v>-13.57312643791319</v>
      </c>
      <c r="K28" s="5">
        <f>(D13*0.23-(D13*0.23*0.501*$C$5/(0.501*$C$5+0.499*$C$6)*3%)-(D13*0.23*$C$8)-(D13*0.23*0.102477570147266)-(381600/4*$C$7)-0)/1000</f>
        <v>53.900904596399833</v>
      </c>
      <c r="L28" s="5">
        <f>(D13*0.27-(D13*0.27*0.501*$C$5/(0.501*$C$5+0.499*$C$6)*3%)-(D13*0.27*$C$8)-(D13*0.27*0.102477570147266)-(381600/4*$C$7)-0)/1000</f>
        <v>79.866279308817198</v>
      </c>
      <c r="M28" s="5">
        <f>(D13*0.3-(D13*0.3*0.501*$C$5/(0.501*$C$5+0.499*$C$6)*3%)-(D13*0.3*$C$8)-(D13*0.3*0.102477570147266)-(381600/4*$C$7)-0)/1000</f>
        <v>99.340310343130227</v>
      </c>
      <c r="N28" s="5"/>
      <c r="O28" s="5"/>
      <c r="P28" s="5"/>
      <c r="Q28" s="5"/>
    </row>
    <row r="29" spans="1:17">
      <c r="A29" s="5" t="s">
        <v>266</v>
      </c>
      <c r="B29" s="5">
        <f>(B13*0.1-(B13*0.1*0.501*$C$5/(0.501*$C$5+0.499*$C$6)*3%)-(B13*0.1*$C$8)-(B13*0.1*0.06)-(214800/4*$C$7)-8000)/1000</f>
        <v>-55.203713</v>
      </c>
      <c r="C29" s="5">
        <f>(B13*0.2-(B13*0.2*0.501*$C$5/(0.501*$C$5+0.499*$C$6)*3%)-(B13*0.2*$C$8)-(B13*0.2*0.06)-(214800/4*$C$7)-0)/1000</f>
        <v>-40.707425999999998</v>
      </c>
      <c r="D29" s="5">
        <f>(B13*0.3-(B13*0.3*0.501*$C$5/(0.501*$C$5+0.499*$C$6)*3%)-(B13*0.3*$C$8)-(B13*0.3*0.06)-(214800/4*$C$7)-0)/1000</f>
        <v>-34.211138999999996</v>
      </c>
      <c r="E29" s="5">
        <f>(B13*0.4-(B13*0.4*0.501*$C$5/(0.501*$C$5+0.499*$C$6)*3%)-(B13*0.4*$C$8)-(B13*0.4*0.06)-(214800/4*$C$7)-0)/1000</f>
        <v>-27.714852</v>
      </c>
      <c r="F29" s="5">
        <f>(C13*0.2-(C13*0.2*0.501*$C$5/(0.501*$C$5+0.499*$C$6)*3%)-(C13*0.2*$C$8)-(C13*0.2*0.0686323342495684)-(324000/4*$C$7)-24000)/1000</f>
        <v>-53.520020585375484</v>
      </c>
      <c r="G29" s="5">
        <f>(C13*0.23-(C13*0.23*0.501*$C$5/(0.501*$C$5+0.499*$C$6)*3%)-(C13*0.23*$C$8)-(C13*0.23*0.0686323342495684)-(324000/4*$C$7)-0)/1000</f>
        <v>-21.798023673181799</v>
      </c>
      <c r="H29" s="5">
        <f>(C13*0.27-(C13*0.27*0.501*$C$5/(0.501*$C$5+0.499*$C$6)*3%)-(C13*0.27*$C$8)-(C13*0.27*0.0686323342495684)-(324000/4*$C$7)-0)/1000</f>
        <v>-11.502027790256907</v>
      </c>
      <c r="I29" s="5">
        <f>(C13*0.3-(C13*0.3*0.501*$C$5/(0.501*$C$5+0.499*$C$6)*3%)-(C13*0.3*$C$8)-(C13*0.3*0.0686323342495684)-(324000/4*$C$7)-0)/1000</f>
        <v>-3.7800308780632186</v>
      </c>
      <c r="J29" s="5">
        <f>(D13*0.2-(D13*0.2*0.501*$C$5/(0.501*$C$5+0.499*$C$6)*3%)-(D13*0.2*$C$8)-(D13*0.2*0.102477570147266)-(477600/4*$C$7)-48000)/1000</f>
        <v>-37.573126437913189</v>
      </c>
      <c r="K29" s="5">
        <f>(D13*0.23-(D13*0.23*0.501*$C$5/(0.501*$C$5+0.499*$C$6)*3%)-(D13*0.23*$C$8)-(D13*0.23*0.102477570147266)-(477600/4*$C$7)-0)/1000</f>
        <v>29.900904596399837</v>
      </c>
      <c r="L29" s="5">
        <f>(D13*0.27-(D13*0.27*0.501*$C$5/(0.501*$C$5+0.499*$C$6)*3%)-(D13*0.27*$C$8)-(D13*0.27*0.102477570147266)-(477600/4*$C$7)-0)/1000</f>
        <v>55.866279308817205</v>
      </c>
      <c r="M29" s="5">
        <f>(D13*0.3-(D13*0.3*0.501*$C$5/(0.501*$C$5+0.499*$C$6)*3%)-(D13*0.3*$C$8)-(D13*0.3*0.102477570147266)-(477600/4*$C$7)-0)/1000</f>
        <v>75.340310343130227</v>
      </c>
      <c r="N29" s="5"/>
      <c r="O29" s="5"/>
      <c r="P29" s="5"/>
      <c r="Q29" s="5"/>
    </row>
    <row r="30" spans="1:17">
      <c r="A30" s="5" t="s">
        <v>279</v>
      </c>
      <c r="B30" s="5">
        <f>B28</f>
        <v>-18.003713000000001</v>
      </c>
      <c r="C30" s="5">
        <f t="shared" ref="C30:M30" si="2">B30+C28</f>
        <v>-21.511139</v>
      </c>
      <c r="D30" s="5">
        <f t="shared" si="2"/>
        <v>-18.522278</v>
      </c>
      <c r="E30" s="5">
        <f t="shared" si="2"/>
        <v>-9.0371299999999994</v>
      </c>
      <c r="F30" s="5">
        <f t="shared" si="2"/>
        <v>-31.257150585375484</v>
      </c>
      <c r="G30" s="5">
        <f t="shared" si="2"/>
        <v>-21.755174258557282</v>
      </c>
      <c r="H30" s="5">
        <f t="shared" si="2"/>
        <v>-1.9572020488141888</v>
      </c>
      <c r="I30" s="5">
        <f t="shared" si="2"/>
        <v>25.562767073122593</v>
      </c>
      <c r="J30" s="5">
        <f t="shared" si="2"/>
        <v>11.989640635209403</v>
      </c>
      <c r="K30" s="5">
        <f t="shared" si="2"/>
        <v>65.890545231609238</v>
      </c>
      <c r="L30" s="5">
        <f t="shared" si="2"/>
        <v>145.75682454042644</v>
      </c>
      <c r="M30" s="5">
        <f t="shared" si="2"/>
        <v>245.09713488355666</v>
      </c>
      <c r="N30" s="5"/>
      <c r="O30" s="5"/>
      <c r="P30" s="5"/>
      <c r="Q30" s="5"/>
    </row>
    <row r="31" spans="1:17">
      <c r="A31" s="5" t="s">
        <v>280</v>
      </c>
      <c r="B31" s="5">
        <f>B29</f>
        <v>-55.203713</v>
      </c>
      <c r="C31" s="5">
        <f t="shared" ref="C31:M31" si="3">B31+C29</f>
        <v>-95.911138999999991</v>
      </c>
      <c r="D31" s="5">
        <f t="shared" si="3"/>
        <v>-130.12227799999999</v>
      </c>
      <c r="E31" s="5">
        <f t="shared" si="3"/>
        <v>-157.83713</v>
      </c>
      <c r="F31" s="5">
        <f t="shared" si="3"/>
        <v>-211.35715058537548</v>
      </c>
      <c r="G31" s="5">
        <f t="shared" si="3"/>
        <v>-233.15517425855728</v>
      </c>
      <c r="H31" s="5">
        <f t="shared" si="3"/>
        <v>-244.65720204881418</v>
      </c>
      <c r="I31" s="5">
        <f t="shared" si="3"/>
        <v>-248.43723292687741</v>
      </c>
      <c r="J31" s="5">
        <f t="shared" si="3"/>
        <v>-286.01035936479059</v>
      </c>
      <c r="K31" s="5">
        <f t="shared" si="3"/>
        <v>-256.10945476839078</v>
      </c>
      <c r="L31" s="5">
        <f t="shared" si="3"/>
        <v>-200.24317545957356</v>
      </c>
      <c r="M31" s="5">
        <f t="shared" si="3"/>
        <v>-124.90286511644334</v>
      </c>
      <c r="N31" s="5"/>
      <c r="O31" s="5"/>
      <c r="P31" s="5"/>
      <c r="Q31" s="5"/>
    </row>
    <row r="32" spans="1:17">
      <c r="A32" s="38" t="s">
        <v>136</v>
      </c>
      <c r="B32" s="38" t="s">
        <v>70</v>
      </c>
      <c r="C32" s="38" t="s">
        <v>71</v>
      </c>
      <c r="D32" s="38" t="s">
        <v>72</v>
      </c>
      <c r="E32" s="38" t="s">
        <v>73</v>
      </c>
      <c r="F32" s="38" t="s">
        <v>74</v>
      </c>
      <c r="G32" s="38" t="s">
        <v>75</v>
      </c>
      <c r="H32" s="38" t="s">
        <v>76</v>
      </c>
      <c r="I32" s="38" t="s">
        <v>77</v>
      </c>
      <c r="J32" s="38" t="s">
        <v>78</v>
      </c>
      <c r="K32" s="38" t="s">
        <v>79</v>
      </c>
      <c r="L32" s="38" t="s">
        <v>80</v>
      </c>
      <c r="M32" s="38" t="s">
        <v>81</v>
      </c>
      <c r="N32" s="5"/>
      <c r="O32" s="5"/>
      <c r="P32" s="5"/>
      <c r="Q32" s="5"/>
    </row>
    <row r="33" spans="1:17">
      <c r="A33" s="5" t="s">
        <v>265</v>
      </c>
      <c r="B33" s="5">
        <f>(B14*0.1-(B14*0.1*0.501*$D$5/(0.501*$D$5+0.499*$D$6)*3%)-(B14*0.1*$D$8)-(B14*0.1*0.06)-(66000/4*$D$7)-8000)/1000</f>
        <v>-14.07607619</v>
      </c>
      <c r="C33" s="5">
        <f>(B14*0.2-(B14*0.2*0.501*$D$5/(0.501*$D$5+0.499*$D$6)*3%)-(B14*0.2*$D$8)-(B14*0.2*0.06)-(66000/4*$D$7)-0)/1000</f>
        <v>3.5228476200000003</v>
      </c>
      <c r="D33" s="5">
        <f>(B14*0.3-(B14*0.3*0.501*$D$5/(0.501*$D$5+0.499*$D$6)*3%)-(B14*0.3*$D$8)-(B14*0.3*0.06)-(66000/4*$D$7)-0)/1000</f>
        <v>13.121771430000001</v>
      </c>
      <c r="E33" s="5">
        <f>(B14*0.4-(B14*0.4*0.501*$D$5/(0.501*$D$5+0.499*$D$6)*3%)-(B14*0.4*$D$8)-(B14*0.4*0.06)-(66000/4*$D$7)-0)/1000</f>
        <v>22.720695240000001</v>
      </c>
      <c r="F33" s="5">
        <f>(C14*0.2-(C14*0.2*0.501*$D$5/(0.501*$D$5+0.499*$D$6)*3%)-(C14*0.2*$D$8)-(C14*0.2*0.0686323342495684)-(198800/4*$D$7)-24000)/1000</f>
        <v>4.8555956805029128</v>
      </c>
      <c r="G33" s="5">
        <f>(C14*0.23-(C14*0.23*0.501*$D$5/(0.501*$D$5+0.499*$D$6)*3%)-(C14*0.23*$D$8)-(C14*0.23*0.0686323342495684)-(198800/4*$D$7)-0)/1000</f>
        <v>40.266185032578363</v>
      </c>
      <c r="H33" s="5">
        <f>(C14*0.27-(C14*0.27*0.501*$D$5/(0.501*$D$5+0.499*$D$6)*3%)-(C14*0.27*$D$8)-(C14*0.27*0.0686323342495684)-(198800/4*$D$7)-0)/1000</f>
        <v>55.480304168678934</v>
      </c>
      <c r="I33" s="5">
        <f>(C14*0.3-(C14*0.3*0.501*$D$5/(0.501*$D$5+0.499*$D$6)*3%)-(C14*0.3*$D$8)-(C14*0.3*0.0686323342495684)-(198800/4*$D$7)-0)/1000</f>
        <v>66.890893520754375</v>
      </c>
      <c r="J33" s="5">
        <f>(D14*0.2-(D14*0.2*0.501*$D$5/(0.501*$D$5+0.499*$D$6)*3%)-(D14*0.2*$D$8)-(D14*0.2*0.102477570147266)-(381600/4*$D$7)-48000)/1000</f>
        <v>53.250058656521347</v>
      </c>
      <c r="K33" s="5">
        <f>(D14*0.23-(D14*0.23*0.501*$D$5/(0.501*$D$5+0.499*$D$6)*3%)-(D14*0.23*$D$8)-(D14*0.23*0.102477570147266)-(381600/4*$D$7)-0)/1000</f>
        <v>130.03206745499955</v>
      </c>
      <c r="L33" s="5">
        <f>(D14*0.27-(D14*0.27*0.501*$D$5/(0.501*$D$5+0.499*$D$6)*3%)-(D14*0.27*$D$8)-(D14*0.27*0.102477570147266)-(381600/4*$D$7)-0)/1000</f>
        <v>168.40807918630378</v>
      </c>
      <c r="M33" s="5">
        <f>(D14*0.3-(D14*0.3*0.501*$D$5/(0.501*$D$5+0.499*$D$6)*3%)-(D14*0.3*$D$8)-(D14*0.3*0.102477570147266)-(381600/4*$D$7)-0)/1000</f>
        <v>197.190087984782</v>
      </c>
      <c r="N33" s="5"/>
      <c r="O33" s="5"/>
      <c r="P33" s="5"/>
      <c r="Q33" s="5"/>
    </row>
    <row r="34" spans="1:17">
      <c r="A34" s="5" t="s">
        <v>266</v>
      </c>
      <c r="B34" s="5">
        <f>(B14*0.1-(B14*0.1*0.501*$D$5/(0.501*$D$5+0.499*$D$6)*3%)-(B14*0.1*$D$8)-(B14*0.1*0.06)-(214800/4*$D$7)-8000)/1000</f>
        <v>-49.416076189999998</v>
      </c>
      <c r="C34" s="5">
        <f>(B14*0.2-(B14*0.2*0.501*$D$5/(0.501*$D$5+0.499*$D$6)*3%)-(B14*0.2*$D$8)-(B14*0.2*0.06)-(214800/4*$D$7)-0)/1000</f>
        <v>-31.81715238</v>
      </c>
      <c r="D34" s="5">
        <f>(B14*0.3-(B14*0.3*0.501*$D$5/(0.501*$D$5+0.499*$D$6)*3%)-(B14*0.3*$D$8)-(B14*0.3*0.06)-(214800/4*$D$7)-0)/1000</f>
        <v>-22.218228570000001</v>
      </c>
      <c r="E34" s="5">
        <f>(B14*0.4-(B14*0.4*0.501*$D$5/(0.501*$D$5+0.499*$D$6)*3%)-(B14*0.4*$D$8)-(B14*0.4*0.06)-(214800/4*$D$7)-0)/1000</f>
        <v>-12.619304759999999</v>
      </c>
      <c r="F34" s="5">
        <f>(C14*0.2-(C14*0.2*0.501*$D$5/(0.501*$D$5+0.499*$D$6)*3%)-(C14*0.2*$D$8)-(C14*0.2*0.0686323342495684)-(324000/4*$D$7)-24000)/1000</f>
        <v>-24.879404319497088</v>
      </c>
      <c r="G34" s="5">
        <f>(C14*0.23-(C14*0.23*0.501*$D$5/(0.501*$D$5+0.499*$D$6)*3%)-(C14*0.23*$D$8)-(C14*0.23*0.0686323342495684)-(324000/4*$D$7)-0)/1000</f>
        <v>10.53118503257836</v>
      </c>
      <c r="H34" s="5">
        <f>(C14*0.27-(C14*0.27*0.501*$D$5/(0.501*$D$5+0.499*$D$6)*3%)-(C14*0.27*$D$8)-(C14*0.27*0.0686323342495684)-(324000/4*$D$7)-0)/1000</f>
        <v>25.745304168678935</v>
      </c>
      <c r="I34" s="5">
        <f>(C14*0.3-(C14*0.3*0.501*$D$5/(0.501*$D$5+0.499*$D$6)*3%)-(C14*0.3*$D$8)-(C14*0.3*0.0686323342495684)-(324000/4*$D$7)-0)/1000</f>
        <v>37.155893520754368</v>
      </c>
      <c r="J34" s="5">
        <f>(D14*0.2-(D14*0.2*0.501*$D$5/(0.501*$D$5+0.499*$D$6)*3%)-(D14*0.2*$D$8)-(D14*0.2*0.102477570147266)-(477600/4*$D$7)-48000)/1000</f>
        <v>30.450058656521346</v>
      </c>
      <c r="K34" s="5">
        <f>(D14*0.23-(D14*0.23*0.501*$D$5/(0.501*$D$5+0.499*$D$6)*3%)-(D14*0.23*$D$8)-(D14*0.23*0.102477570147266)-(477600/4*$D$7)-0)/1000</f>
        <v>107.23206745499955</v>
      </c>
      <c r="L34" s="5">
        <f>(D14*0.27-(D14*0.27*0.501*$D$5/(0.501*$D$5+0.499*$D$6)*3%)-(D14*0.27*$D$8)-(D14*0.27*0.102477570147266)-(477600/4*$D$7)-0)/1000</f>
        <v>145.60807918630377</v>
      </c>
      <c r="M34" s="5">
        <f>(D14*0.3-(D14*0.3*0.501*$D$5/(0.501*$D$5+0.499*$D$6)*3%)-(D14*0.3*$D$8)-(D14*0.3*0.102477570147266)-(477600/4*$D$7)-0)/1000</f>
        <v>174.39008798478201</v>
      </c>
      <c r="N34" s="5"/>
      <c r="O34" s="5"/>
      <c r="P34" s="5"/>
      <c r="Q34" s="5"/>
    </row>
    <row r="35" spans="1:17">
      <c r="A35" s="5" t="s">
        <v>279</v>
      </c>
      <c r="B35" s="5">
        <f>B33</f>
        <v>-14.07607619</v>
      </c>
      <c r="C35" s="5">
        <f t="shared" ref="C35:M35" si="4">B35+C33</f>
        <v>-10.55322857</v>
      </c>
      <c r="D35" s="5">
        <f t="shared" si="4"/>
        <v>2.5685428600000009</v>
      </c>
      <c r="E35" s="5">
        <f t="shared" si="4"/>
        <v>25.289238100000002</v>
      </c>
      <c r="F35" s="5">
        <f t="shared" si="4"/>
        <v>30.144833780502914</v>
      </c>
      <c r="G35" s="5">
        <f t="shared" si="4"/>
        <v>70.411018813081284</v>
      </c>
      <c r="H35" s="5">
        <f t="shared" si="4"/>
        <v>125.89132298176023</v>
      </c>
      <c r="I35" s="5">
        <f t="shared" si="4"/>
        <v>192.78221650251459</v>
      </c>
      <c r="J35" s="5">
        <f t="shared" si="4"/>
        <v>246.03227515903592</v>
      </c>
      <c r="K35" s="5">
        <f t="shared" si="4"/>
        <v>376.06434261403547</v>
      </c>
      <c r="L35" s="5">
        <f t="shared" si="4"/>
        <v>544.47242180033925</v>
      </c>
      <c r="M35" s="5">
        <f t="shared" si="4"/>
        <v>741.6625097851213</v>
      </c>
      <c r="N35" s="5"/>
      <c r="O35" s="5"/>
      <c r="P35" s="5"/>
      <c r="Q35" s="5"/>
    </row>
    <row r="36" spans="1:17">
      <c r="A36" s="5" t="s">
        <v>280</v>
      </c>
      <c r="B36" s="5">
        <f>B34</f>
        <v>-49.416076189999998</v>
      </c>
      <c r="C36" s="5">
        <f t="shared" ref="C36:M36" si="5">B36+C34</f>
        <v>-81.233228569999994</v>
      </c>
      <c r="D36" s="5">
        <f t="shared" si="5"/>
        <v>-103.45145714</v>
      </c>
      <c r="E36" s="5">
        <f t="shared" si="5"/>
        <v>-116.07076190000001</v>
      </c>
      <c r="F36" s="5">
        <f t="shared" si="5"/>
        <v>-140.95016621949711</v>
      </c>
      <c r="G36" s="5">
        <f t="shared" si="5"/>
        <v>-130.41898118691876</v>
      </c>
      <c r="H36" s="5">
        <f t="shared" si="5"/>
        <v>-104.67367701823983</v>
      </c>
      <c r="I36" s="5">
        <f t="shared" si="5"/>
        <v>-67.517783497485453</v>
      </c>
      <c r="J36" s="5">
        <f t="shared" si="5"/>
        <v>-37.067724840964104</v>
      </c>
      <c r="K36" s="5">
        <f t="shared" si="5"/>
        <v>70.164342614035448</v>
      </c>
      <c r="L36" s="5">
        <f t="shared" si="5"/>
        <v>215.7724218003392</v>
      </c>
      <c r="M36" s="5">
        <f t="shared" si="5"/>
        <v>390.16250978512119</v>
      </c>
      <c r="N36" s="5"/>
      <c r="O36" s="5"/>
      <c r="P36" s="5"/>
      <c r="Q36" s="5"/>
    </row>
    <row r="37" spans="1:1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</sheetData>
  <mergeCells count="2">
    <mergeCell ref="A1:Q1"/>
    <mergeCell ref="A17:G1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0"/>
  <sheetViews>
    <sheetView workbookViewId="0"/>
  </sheetViews>
  <sheetFormatPr baseColWidth="10" defaultColWidth="8.83203125" defaultRowHeight="15"/>
  <cols>
    <col min="1" max="1" width="36" customWidth="1"/>
    <col min="2" max="13" width="4.83203125" customWidth="1"/>
  </cols>
  <sheetData>
    <row r="1" spans="1:13">
      <c r="A1" s="63" t="s">
        <v>281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>
      <c r="A3" s="40" t="s">
        <v>93</v>
      </c>
      <c r="B3" s="40" t="s">
        <v>70</v>
      </c>
      <c r="C3" s="40" t="s">
        <v>71</v>
      </c>
      <c r="D3" s="40" t="s">
        <v>72</v>
      </c>
      <c r="E3" s="40" t="s">
        <v>73</v>
      </c>
      <c r="F3" s="40" t="s">
        <v>74</v>
      </c>
      <c r="G3" s="40" t="s">
        <v>75</v>
      </c>
      <c r="H3" s="40" t="s">
        <v>76</v>
      </c>
      <c r="I3" s="40" t="s">
        <v>77</v>
      </c>
      <c r="J3" s="40" t="s">
        <v>78</v>
      </c>
      <c r="K3" s="40" t="s">
        <v>79</v>
      </c>
      <c r="L3" s="40" t="s">
        <v>80</v>
      </c>
      <c r="M3" s="40" t="s">
        <v>81</v>
      </c>
    </row>
    <row r="4" spans="1:13">
      <c r="A4" s="41" t="s">
        <v>282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>
      <c r="A5" s="5" t="s">
        <v>283</v>
      </c>
      <c r="B5" s="7">
        <f>DFC_A!B4</f>
        <v>7.1797752808988768</v>
      </c>
      <c r="C5" s="7">
        <f>DFC_A!C4</f>
        <v>14.160112359550563</v>
      </c>
      <c r="D5" s="7">
        <f>DFC_A!D4</f>
        <v>21.339887640449437</v>
      </c>
      <c r="E5" s="7">
        <f>DFC_A!E4</f>
        <v>28.320224719101127</v>
      </c>
      <c r="F5" s="7">
        <f>DFC_A!F4</f>
        <v>56.640449438202253</v>
      </c>
      <c r="G5" s="7">
        <f>DFC_A!G4</f>
        <v>65.216292134831463</v>
      </c>
      <c r="H5" s="7">
        <f>DFC_A!H4</f>
        <v>76.783707865168537</v>
      </c>
      <c r="I5" s="7">
        <f>DFC_A!I4</f>
        <v>85.359550561797747</v>
      </c>
      <c r="J5" s="7">
        <f>DFC_A!J4</f>
        <v>148.87982832618025</v>
      </c>
      <c r="K5" s="7">
        <f>DFC_A!K4</f>
        <v>171.0321888412017</v>
      </c>
      <c r="L5" s="7">
        <f>DFC_A!L4</f>
        <v>200.9678111587983</v>
      </c>
      <c r="M5" s="7">
        <f>DFC_A!M4</f>
        <v>223.12017167381978</v>
      </c>
    </row>
    <row r="6" spans="1:13">
      <c r="A6" s="5" t="s">
        <v>284</v>
      </c>
      <c r="B6" s="7">
        <f>DFC_A!B8</f>
        <v>-0.4307865168539326</v>
      </c>
      <c r="C6" s="7">
        <f>DFC_A!C8</f>
        <v>-0.84960674157303384</v>
      </c>
      <c r="D6" s="7">
        <f>DFC_A!D8</f>
        <v>-1.2803932584269662</v>
      </c>
      <c r="E6" s="7">
        <f>DFC_A!E8</f>
        <v>-1.6992134831460677</v>
      </c>
      <c r="F6" s="7">
        <f>DFC_A!F8</f>
        <v>-3.3984269662921354</v>
      </c>
      <c r="G6" s="7">
        <f>DFC_A!G8</f>
        <v>-3.9129775280898875</v>
      </c>
      <c r="H6" s="7">
        <f>DFC_A!H8</f>
        <v>-5.4331671965403521</v>
      </c>
      <c r="I6" s="7">
        <f>DFC_A!I8</f>
        <v>-6.7470112359550551</v>
      </c>
      <c r="J6" s="7">
        <f>DFC_A!J8</f>
        <v>-13.118539456441402</v>
      </c>
      <c r="K6" s="7">
        <f>DFC_A!K8</f>
        <v>-16.830710926314751</v>
      </c>
      <c r="L6" s="7">
        <f>DFC_A!L8</f>
        <v>-21.283010304664021</v>
      </c>
      <c r="M6" s="7">
        <f>DFC_A!M8</f>
        <v>-25.011051502145925</v>
      </c>
    </row>
    <row r="7" spans="1:13">
      <c r="A7" s="5" t="s">
        <v>285</v>
      </c>
      <c r="B7" s="7">
        <f>DFC_A!B5</f>
        <v>-0.108</v>
      </c>
      <c r="C7" s="7">
        <f>DFC_A!C5</f>
        <v>-0.21299999999999999</v>
      </c>
      <c r="D7" s="7">
        <f>DFC_A!D5</f>
        <v>-0.32100000000000001</v>
      </c>
      <c r="E7" s="7">
        <f>DFC_A!E5</f>
        <v>-0.42599999999999999</v>
      </c>
      <c r="F7" s="7">
        <f>DFC_A!F5</f>
        <v>-0.85199999999999998</v>
      </c>
      <c r="G7" s="7">
        <f>DFC_A!G5</f>
        <v>-0.98099999999999998</v>
      </c>
      <c r="H7" s="7">
        <f>DFC_A!H5</f>
        <v>-1.155</v>
      </c>
      <c r="I7" s="7">
        <f>DFC_A!I5</f>
        <v>-1.284</v>
      </c>
      <c r="J7" s="7">
        <f>DFC_A!J5</f>
        <v>-2.238</v>
      </c>
      <c r="K7" s="7">
        <f>DFC_A!K5</f>
        <v>-2.5710000000000002</v>
      </c>
      <c r="L7" s="7">
        <f>DFC_A!L5</f>
        <v>-3.0209999999999999</v>
      </c>
      <c r="M7" s="7">
        <f>DFC_A!M5</f>
        <v>-3.3540000000000001</v>
      </c>
    </row>
    <row r="8" spans="1:13">
      <c r="A8" s="5" t="s">
        <v>286</v>
      </c>
      <c r="B8" s="7">
        <f>DFC_A!B6</f>
        <v>-7.1797752808988771E-2</v>
      </c>
      <c r="C8" s="7">
        <f>DFC_A!C6</f>
        <v>-0.14160112359550564</v>
      </c>
      <c r="D8" s="7">
        <f>DFC_A!D6</f>
        <v>-0.21339887640449437</v>
      </c>
      <c r="E8" s="7">
        <f>DFC_A!E6</f>
        <v>-0.28320224719101128</v>
      </c>
      <c r="F8" s="7">
        <f>DFC_A!F6</f>
        <v>-0.56640449438202256</v>
      </c>
      <c r="G8" s="7">
        <f>DFC_A!G6</f>
        <v>-0.65216292134831466</v>
      </c>
      <c r="H8" s="7">
        <f>DFC_A!H6</f>
        <v>-0.76783707865168538</v>
      </c>
      <c r="I8" s="7">
        <f>DFC_A!I6</f>
        <v>-0.85359550561797748</v>
      </c>
      <c r="J8" s="7">
        <f>DFC_A!J6</f>
        <v>-1.4887982832618025</v>
      </c>
      <c r="K8" s="7">
        <f>DFC_A!K6</f>
        <v>-1.710321888412017</v>
      </c>
      <c r="L8" s="7">
        <f>DFC_A!L6</f>
        <v>-2.0096781115879829</v>
      </c>
      <c r="M8" s="7">
        <f>DFC_A!M6</f>
        <v>-2.2312017167381977</v>
      </c>
    </row>
    <row r="9" spans="1:13">
      <c r="A9" s="5" t="s">
        <v>287</v>
      </c>
      <c r="B9" s="8">
        <f t="shared" ref="B9:M9" si="0">SUM(B5:B8)</f>
        <v>6.5691910112359562</v>
      </c>
      <c r="C9" s="8">
        <f t="shared" si="0"/>
        <v>12.955904494382025</v>
      </c>
      <c r="D9" s="8">
        <f t="shared" si="0"/>
        <v>19.525095505617976</v>
      </c>
      <c r="E9" s="8">
        <f t="shared" si="0"/>
        <v>25.911808988764051</v>
      </c>
      <c r="F9" s="8">
        <f t="shared" si="0"/>
        <v>51.823617977528102</v>
      </c>
      <c r="G9" s="8">
        <f t="shared" si="0"/>
        <v>59.670151685393257</v>
      </c>
      <c r="H9" s="8">
        <f t="shared" si="0"/>
        <v>69.427703589976502</v>
      </c>
      <c r="I9" s="8">
        <f t="shared" si="0"/>
        <v>76.474943820224709</v>
      </c>
      <c r="J9" s="8">
        <f t="shared" si="0"/>
        <v>132.03449058647703</v>
      </c>
      <c r="K9" s="8">
        <f t="shared" si="0"/>
        <v>149.92015602647493</v>
      </c>
      <c r="L9" s="8">
        <f t="shared" si="0"/>
        <v>174.65412274254629</v>
      </c>
      <c r="M9" s="8">
        <f t="shared" si="0"/>
        <v>192.52391845493565</v>
      </c>
    </row>
    <row r="10" spans="1:13" ht="29">
      <c r="A10" s="5" t="s">
        <v>288</v>
      </c>
      <c r="B10" s="8">
        <f>DFC_A!B7*0.65</f>
        <v>-10.725</v>
      </c>
      <c r="C10" s="8">
        <f>DFC_A!C7*0.65</f>
        <v>-10.725</v>
      </c>
      <c r="D10" s="8">
        <f>DFC_A!D7*0.65</f>
        <v>-10.725</v>
      </c>
      <c r="E10" s="8">
        <f>DFC_A!E7*0.65</f>
        <v>-10.725</v>
      </c>
      <c r="F10" s="8">
        <f>DFC_A!F7*0.65</f>
        <v>-32.305</v>
      </c>
      <c r="G10" s="8">
        <f>DFC_A!G7*0.65</f>
        <v>-32.305</v>
      </c>
      <c r="H10" s="8">
        <f>DFC_A!H7*0.65</f>
        <v>-32.305</v>
      </c>
      <c r="I10" s="8">
        <f>DFC_A!I7*0.65</f>
        <v>-32.305</v>
      </c>
      <c r="J10" s="8">
        <f>DFC_A!J7*0.65</f>
        <v>-62.010000000000005</v>
      </c>
      <c r="K10" s="8">
        <f>DFC_A!K7*0.65</f>
        <v>-62.010000000000005</v>
      </c>
      <c r="L10" s="8">
        <f>DFC_A!L7*0.65</f>
        <v>-62.010000000000005</v>
      </c>
      <c r="M10" s="8">
        <f>DFC_A!M7*0.65</f>
        <v>-62.010000000000005</v>
      </c>
    </row>
    <row r="11" spans="1:13">
      <c r="A11" s="5" t="s">
        <v>289</v>
      </c>
      <c r="B11" s="8">
        <f>DFC_A!B7*(1-0.65)</f>
        <v>-5.7749999999999995</v>
      </c>
      <c r="C11" s="8">
        <f>DFC_A!C7*(1-0.65)</f>
        <v>-5.7749999999999995</v>
      </c>
      <c r="D11" s="8">
        <f>DFC_A!D7*(1-0.65)</f>
        <v>-5.7749999999999995</v>
      </c>
      <c r="E11" s="8">
        <f>DFC_A!E7*(1-0.65)</f>
        <v>-5.7749999999999995</v>
      </c>
      <c r="F11" s="8">
        <f>DFC_A!F7*(1-0.65)</f>
        <v>-17.395</v>
      </c>
      <c r="G11" s="8">
        <f>DFC_A!G7*(1-0.65)</f>
        <v>-17.395</v>
      </c>
      <c r="H11" s="8">
        <f>DFC_A!H7*(1-0.65)</f>
        <v>-17.395</v>
      </c>
      <c r="I11" s="8">
        <f>DFC_A!I7*(1-0.65)</f>
        <v>-17.395</v>
      </c>
      <c r="J11" s="8">
        <f>DFC_A!J7*(1-0.65)</f>
        <v>-33.39</v>
      </c>
      <c r="K11" s="8">
        <f>DFC_A!K7*(1-0.65)</f>
        <v>-33.39</v>
      </c>
      <c r="L11" s="8">
        <f>DFC_A!L7*(1-0.65)</f>
        <v>-33.39</v>
      </c>
      <c r="M11" s="8">
        <f>DFC_A!M7*(1-0.65)</f>
        <v>-33.39</v>
      </c>
    </row>
    <row r="12" spans="1:13">
      <c r="A12" s="5" t="s">
        <v>290</v>
      </c>
      <c r="B12" s="8">
        <f t="shared" ref="B12:M12" si="1">SUM(B9:B11)</f>
        <v>-9.9308089887640421</v>
      </c>
      <c r="C12" s="8">
        <f t="shared" si="1"/>
        <v>-3.5440955056179737</v>
      </c>
      <c r="D12" s="8">
        <f t="shared" si="1"/>
        <v>3.0250955056179771</v>
      </c>
      <c r="E12" s="8">
        <f t="shared" si="1"/>
        <v>9.4118089887640508</v>
      </c>
      <c r="F12" s="8">
        <f t="shared" si="1"/>
        <v>2.1236179775281023</v>
      </c>
      <c r="G12" s="8">
        <f t="shared" si="1"/>
        <v>9.9701516853932581</v>
      </c>
      <c r="H12" s="8">
        <f t="shared" si="1"/>
        <v>19.727703589976503</v>
      </c>
      <c r="I12" s="8">
        <f t="shared" si="1"/>
        <v>26.77494382022471</v>
      </c>
      <c r="J12" s="8">
        <f t="shared" si="1"/>
        <v>36.634490586477028</v>
      </c>
      <c r="K12" s="8">
        <f t="shared" si="1"/>
        <v>54.520156026474922</v>
      </c>
      <c r="L12" s="8">
        <f t="shared" si="1"/>
        <v>79.254122742546286</v>
      </c>
      <c r="M12" s="8">
        <f t="shared" si="1"/>
        <v>97.123918454935662</v>
      </c>
    </row>
    <row r="13" spans="1:13">
      <c r="A13" s="5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>
      <c r="A14" s="41" t="s">
        <v>291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>
      <c r="A15" s="5" t="s">
        <v>292</v>
      </c>
      <c r="B15" s="8">
        <f>DFC_A!B10</f>
        <v>-8</v>
      </c>
      <c r="C15" s="8">
        <f>DFC_A!C10</f>
        <v>0</v>
      </c>
      <c r="D15" s="8">
        <f>DFC_A!D10</f>
        <v>0</v>
      </c>
      <c r="E15" s="8">
        <f>DFC_A!E10</f>
        <v>0</v>
      </c>
      <c r="F15" s="8">
        <f>DFC_A!F10</f>
        <v>-24</v>
      </c>
      <c r="G15" s="8">
        <f>DFC_A!G10</f>
        <v>0</v>
      </c>
      <c r="H15" s="8">
        <f>DFC_A!H10</f>
        <v>0</v>
      </c>
      <c r="I15" s="8">
        <f>DFC_A!I10</f>
        <v>0</v>
      </c>
      <c r="J15" s="8">
        <f>DFC_A!J10</f>
        <v>-48</v>
      </c>
      <c r="K15" s="8">
        <f>DFC_A!K10</f>
        <v>0</v>
      </c>
      <c r="L15" s="8">
        <f>DFC_A!L10</f>
        <v>0</v>
      </c>
      <c r="M15" s="8">
        <f>DFC_A!M10</f>
        <v>0</v>
      </c>
    </row>
    <row r="16" spans="1:13">
      <c r="A16" s="5" t="s">
        <v>293</v>
      </c>
      <c r="B16" s="8">
        <f t="shared" ref="B16:M16" si="2">B12+B15</f>
        <v>-17.930808988764042</v>
      </c>
      <c r="C16" s="8">
        <f t="shared" si="2"/>
        <v>-3.5440955056179737</v>
      </c>
      <c r="D16" s="8">
        <f t="shared" si="2"/>
        <v>3.0250955056179771</v>
      </c>
      <c r="E16" s="8">
        <f t="shared" si="2"/>
        <v>9.4118089887640508</v>
      </c>
      <c r="F16" s="8">
        <f t="shared" si="2"/>
        <v>-21.876382022471898</v>
      </c>
      <c r="G16" s="8">
        <f t="shared" si="2"/>
        <v>9.9701516853932581</v>
      </c>
      <c r="H16" s="8">
        <f t="shared" si="2"/>
        <v>19.727703589976503</v>
      </c>
      <c r="I16" s="8">
        <f t="shared" si="2"/>
        <v>26.77494382022471</v>
      </c>
      <c r="J16" s="8">
        <f t="shared" si="2"/>
        <v>-11.365509413522972</v>
      </c>
      <c r="K16" s="8">
        <f t="shared" si="2"/>
        <v>54.520156026474922</v>
      </c>
      <c r="L16" s="8">
        <f t="shared" si="2"/>
        <v>79.254122742546286</v>
      </c>
      <c r="M16" s="8">
        <f t="shared" si="2"/>
        <v>97.123918454935662</v>
      </c>
    </row>
    <row r="17" spans="1:13">
      <c r="A17" s="5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>
      <c r="A18" s="41" t="s">
        <v>294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</row>
    <row r="19" spans="1:13">
      <c r="A19" s="5" t="s">
        <v>295</v>
      </c>
      <c r="B19" s="43">
        <f>DFC_A!B12</f>
        <v>47.414382022471891</v>
      </c>
      <c r="C19" s="8">
        <f>DFC_A!C12</f>
        <v>0</v>
      </c>
      <c r="D19" s="8">
        <f>DFC_A!D12</f>
        <v>0</v>
      </c>
      <c r="E19" s="8">
        <f>DFC_A!E12</f>
        <v>0</v>
      </c>
      <c r="F19" s="8">
        <f>DFC_A!F12</f>
        <v>0</v>
      </c>
      <c r="G19" s="8">
        <f>DFC_A!G12</f>
        <v>0</v>
      </c>
      <c r="H19" s="8">
        <f>DFC_A!H12</f>
        <v>0</v>
      </c>
      <c r="I19" s="8">
        <f>DFC_A!I12</f>
        <v>0</v>
      </c>
      <c r="J19" s="8">
        <f>DFC_A!J12</f>
        <v>0</v>
      </c>
      <c r="K19" s="8">
        <f>DFC_A!K12</f>
        <v>0</v>
      </c>
      <c r="L19" s="8">
        <f>DFC_A!L12</f>
        <v>0</v>
      </c>
      <c r="M19" s="8">
        <f>DFC_A!M12</f>
        <v>0</v>
      </c>
    </row>
    <row r="20" spans="1:13">
      <c r="A20" s="5" t="s">
        <v>296</v>
      </c>
      <c r="B20" s="8">
        <f t="shared" ref="B20:M20" si="3">B16+B19</f>
        <v>29.483573033707849</v>
      </c>
      <c r="C20" s="8">
        <f t="shared" si="3"/>
        <v>-3.5440955056179737</v>
      </c>
      <c r="D20" s="8">
        <f t="shared" si="3"/>
        <v>3.0250955056179771</v>
      </c>
      <c r="E20" s="8">
        <f t="shared" si="3"/>
        <v>9.4118089887640508</v>
      </c>
      <c r="F20" s="8">
        <f t="shared" si="3"/>
        <v>-21.876382022471898</v>
      </c>
      <c r="G20" s="8">
        <f t="shared" si="3"/>
        <v>9.9701516853932581</v>
      </c>
      <c r="H20" s="8">
        <f t="shared" si="3"/>
        <v>19.727703589976503</v>
      </c>
      <c r="I20" s="8">
        <f t="shared" si="3"/>
        <v>26.77494382022471</v>
      </c>
      <c r="J20" s="8">
        <f t="shared" si="3"/>
        <v>-11.365509413522972</v>
      </c>
      <c r="K20" s="8">
        <f t="shared" si="3"/>
        <v>54.520156026474922</v>
      </c>
      <c r="L20" s="8">
        <f t="shared" si="3"/>
        <v>79.254122742546286</v>
      </c>
      <c r="M20" s="8">
        <f t="shared" si="3"/>
        <v>97.123918454935662</v>
      </c>
    </row>
    <row r="21" spans="1:13">
      <c r="A21" s="5" t="s">
        <v>297</v>
      </c>
      <c r="B21" s="8">
        <f>B20</f>
        <v>29.483573033707849</v>
      </c>
      <c r="C21" s="8">
        <f t="shared" ref="C21:M21" si="4">B21+C20</f>
        <v>25.939477528089874</v>
      </c>
      <c r="D21" s="8">
        <f t="shared" si="4"/>
        <v>28.96457303370785</v>
      </c>
      <c r="E21" s="8">
        <f t="shared" si="4"/>
        <v>38.376382022471901</v>
      </c>
      <c r="F21" s="8">
        <f t="shared" si="4"/>
        <v>16.500000000000004</v>
      </c>
      <c r="G21" s="8">
        <f t="shared" si="4"/>
        <v>26.470151685393262</v>
      </c>
      <c r="H21" s="8">
        <f t="shared" si="4"/>
        <v>46.197855275369761</v>
      </c>
      <c r="I21" s="8">
        <f t="shared" si="4"/>
        <v>72.972799095594468</v>
      </c>
      <c r="J21" s="8">
        <f t="shared" si="4"/>
        <v>61.607289682071496</v>
      </c>
      <c r="K21" s="8">
        <f t="shared" si="4"/>
        <v>116.12744570854642</v>
      </c>
      <c r="L21" s="8">
        <f t="shared" si="4"/>
        <v>195.3815684510927</v>
      </c>
      <c r="M21" s="8">
        <f t="shared" si="4"/>
        <v>292.50548690602835</v>
      </c>
    </row>
    <row r="22" spans="1:1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64" t="s">
        <v>298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</row>
    <row r="24" spans="1:13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</row>
    <row r="25" spans="1:13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</row>
    <row r="26" spans="1:1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</sheetData>
  <mergeCells count="2">
    <mergeCell ref="A1:M1"/>
    <mergeCell ref="A23:M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0"/>
  <sheetViews>
    <sheetView workbookViewId="0"/>
  </sheetViews>
  <sheetFormatPr baseColWidth="10" defaultColWidth="8.83203125" defaultRowHeight="15"/>
  <cols>
    <col min="1" max="1" width="36" customWidth="1"/>
    <col min="2" max="13" width="4.83203125" customWidth="1"/>
  </cols>
  <sheetData>
    <row r="1" spans="1:13">
      <c r="A1" s="63" t="s">
        <v>299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>
      <c r="A3" s="40" t="s">
        <v>93</v>
      </c>
      <c r="B3" s="40" t="s">
        <v>70</v>
      </c>
      <c r="C3" s="40" t="s">
        <v>71</v>
      </c>
      <c r="D3" s="40" t="s">
        <v>72</v>
      </c>
      <c r="E3" s="40" t="s">
        <v>73</v>
      </c>
      <c r="F3" s="40" t="s">
        <v>74</v>
      </c>
      <c r="G3" s="40" t="s">
        <v>75</v>
      </c>
      <c r="H3" s="40" t="s">
        <v>76</v>
      </c>
      <c r="I3" s="40" t="s">
        <v>77</v>
      </c>
      <c r="J3" s="40" t="s">
        <v>78</v>
      </c>
      <c r="K3" s="40" t="s">
        <v>79</v>
      </c>
      <c r="L3" s="40" t="s">
        <v>80</v>
      </c>
      <c r="M3" s="40" t="s">
        <v>81</v>
      </c>
    </row>
    <row r="4" spans="1:13">
      <c r="A4" s="41" t="s">
        <v>282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>
      <c r="A5" s="5" t="s">
        <v>283</v>
      </c>
      <c r="B5" s="7">
        <f>DFC_B!B4</f>
        <v>7.1797752808988768</v>
      </c>
      <c r="C5" s="7">
        <f>DFC_B!C4</f>
        <v>14.160112359550563</v>
      </c>
      <c r="D5" s="7">
        <f>DFC_B!D4</f>
        <v>21.339887640449437</v>
      </c>
      <c r="E5" s="7">
        <f>DFC_B!E4</f>
        <v>28.320224719101127</v>
      </c>
      <c r="F5" s="7">
        <f>DFC_B!F4</f>
        <v>56.640449438202253</v>
      </c>
      <c r="G5" s="7">
        <f>DFC_B!G4</f>
        <v>65.216292134831463</v>
      </c>
      <c r="H5" s="7">
        <f>DFC_B!H4</f>
        <v>76.783707865168537</v>
      </c>
      <c r="I5" s="7">
        <f>DFC_B!I4</f>
        <v>85.359550561797747</v>
      </c>
      <c r="J5" s="7">
        <f>DFC_B!J4</f>
        <v>148.87982832618025</v>
      </c>
      <c r="K5" s="7">
        <f>DFC_B!K4</f>
        <v>171.0321888412017</v>
      </c>
      <c r="L5" s="7">
        <f>DFC_B!L4</f>
        <v>200.9678111587983</v>
      </c>
      <c r="M5" s="7">
        <f>DFC_B!M4</f>
        <v>223.12017167381978</v>
      </c>
    </row>
    <row r="6" spans="1:13">
      <c r="A6" s="5" t="s">
        <v>284</v>
      </c>
      <c r="B6" s="7">
        <f>DFC_B!B8</f>
        <v>-0.4307865168539326</v>
      </c>
      <c r="C6" s="7">
        <f>DFC_B!C8</f>
        <v>-0.84960674157303384</v>
      </c>
      <c r="D6" s="7">
        <f>DFC_B!D8</f>
        <v>-1.2803932584269662</v>
      </c>
      <c r="E6" s="7">
        <f>DFC_B!E8</f>
        <v>-1.6992134831460677</v>
      </c>
      <c r="F6" s="7">
        <f>DFC_B!F8</f>
        <v>-3.3984269662921354</v>
      </c>
      <c r="G6" s="7">
        <f>DFC_B!G8</f>
        <v>-3.9129775280898875</v>
      </c>
      <c r="H6" s="7">
        <f>DFC_B!H8</f>
        <v>-5.4331671965403521</v>
      </c>
      <c r="I6" s="7">
        <f>DFC_B!I8</f>
        <v>-6.7470112359550551</v>
      </c>
      <c r="J6" s="7">
        <f>DFC_B!J8</f>
        <v>-13.118539456441402</v>
      </c>
      <c r="K6" s="7">
        <f>DFC_B!K8</f>
        <v>-16.830710926314751</v>
      </c>
      <c r="L6" s="7">
        <f>DFC_B!L8</f>
        <v>-21.283010304664021</v>
      </c>
      <c r="M6" s="7">
        <f>DFC_B!M8</f>
        <v>-25.011051502145925</v>
      </c>
    </row>
    <row r="7" spans="1:13">
      <c r="A7" s="5" t="s">
        <v>285</v>
      </c>
      <c r="B7" s="7">
        <f>DFC_B!B5</f>
        <v>-0.108</v>
      </c>
      <c r="C7" s="7">
        <f>DFC_B!C5</f>
        <v>-0.21299999999999999</v>
      </c>
      <c r="D7" s="7">
        <f>DFC_B!D5</f>
        <v>-0.32100000000000001</v>
      </c>
      <c r="E7" s="7">
        <f>DFC_B!E5</f>
        <v>-0.42599999999999999</v>
      </c>
      <c r="F7" s="7">
        <f>DFC_B!F5</f>
        <v>-0.85199999999999998</v>
      </c>
      <c r="G7" s="7">
        <f>DFC_B!G5</f>
        <v>-0.98099999999999998</v>
      </c>
      <c r="H7" s="7">
        <f>DFC_B!H5</f>
        <v>-1.155</v>
      </c>
      <c r="I7" s="7">
        <f>DFC_B!I5</f>
        <v>-1.284</v>
      </c>
      <c r="J7" s="7">
        <f>DFC_B!J5</f>
        <v>-2.238</v>
      </c>
      <c r="K7" s="7">
        <f>DFC_B!K5</f>
        <v>-2.5710000000000002</v>
      </c>
      <c r="L7" s="7">
        <f>DFC_B!L5</f>
        <v>-3.0209999999999999</v>
      </c>
      <c r="M7" s="7">
        <f>DFC_B!M5</f>
        <v>-3.3540000000000001</v>
      </c>
    </row>
    <row r="8" spans="1:13">
      <c r="A8" s="5" t="s">
        <v>286</v>
      </c>
      <c r="B8" s="7">
        <f>DFC_B!B6</f>
        <v>-7.1797752808988771E-2</v>
      </c>
      <c r="C8" s="7">
        <f>DFC_B!C6</f>
        <v>-0.14160112359550564</v>
      </c>
      <c r="D8" s="7">
        <f>DFC_B!D6</f>
        <v>-0.21339887640449437</v>
      </c>
      <c r="E8" s="7">
        <f>DFC_B!E6</f>
        <v>-0.28320224719101128</v>
      </c>
      <c r="F8" s="7">
        <f>DFC_B!F6</f>
        <v>-0.56640449438202256</v>
      </c>
      <c r="G8" s="7">
        <f>DFC_B!G6</f>
        <v>-0.65216292134831466</v>
      </c>
      <c r="H8" s="7">
        <f>DFC_B!H6</f>
        <v>-0.76783707865168538</v>
      </c>
      <c r="I8" s="7">
        <f>DFC_B!I6</f>
        <v>-0.85359550561797748</v>
      </c>
      <c r="J8" s="7">
        <f>DFC_B!J6</f>
        <v>-1.4887982832618025</v>
      </c>
      <c r="K8" s="7">
        <f>DFC_B!K6</f>
        <v>-1.710321888412017</v>
      </c>
      <c r="L8" s="7">
        <f>DFC_B!L6</f>
        <v>-2.0096781115879829</v>
      </c>
      <c r="M8" s="7">
        <f>DFC_B!M6</f>
        <v>-2.2312017167381977</v>
      </c>
    </row>
    <row r="9" spans="1:13">
      <c r="A9" s="5" t="s">
        <v>287</v>
      </c>
      <c r="B9" s="8">
        <f t="shared" ref="B9:M9" si="0">SUM(B5:B8)</f>
        <v>6.5691910112359562</v>
      </c>
      <c r="C9" s="8">
        <f t="shared" si="0"/>
        <v>12.955904494382025</v>
      </c>
      <c r="D9" s="8">
        <f t="shared" si="0"/>
        <v>19.525095505617976</v>
      </c>
      <c r="E9" s="8">
        <f t="shared" si="0"/>
        <v>25.911808988764051</v>
      </c>
      <c r="F9" s="8">
        <f t="shared" si="0"/>
        <v>51.823617977528102</v>
      </c>
      <c r="G9" s="8">
        <f t="shared" si="0"/>
        <v>59.670151685393257</v>
      </c>
      <c r="H9" s="8">
        <f t="shared" si="0"/>
        <v>69.427703589976502</v>
      </c>
      <c r="I9" s="8">
        <f t="shared" si="0"/>
        <v>76.474943820224709</v>
      </c>
      <c r="J9" s="8">
        <f t="shared" si="0"/>
        <v>132.03449058647703</v>
      </c>
      <c r="K9" s="8">
        <f t="shared" si="0"/>
        <v>149.92015602647493</v>
      </c>
      <c r="L9" s="8">
        <f t="shared" si="0"/>
        <v>174.65412274254629</v>
      </c>
      <c r="M9" s="8">
        <f t="shared" si="0"/>
        <v>192.52391845493565</v>
      </c>
    </row>
    <row r="10" spans="1:13" ht="29">
      <c r="A10" s="5" t="s">
        <v>288</v>
      </c>
      <c r="B10" s="8">
        <f>DFC_B!B7*0.65</f>
        <v>-34.905000000000001</v>
      </c>
      <c r="C10" s="8">
        <f>DFC_B!C7*0.65</f>
        <v>-34.905000000000001</v>
      </c>
      <c r="D10" s="8">
        <f>DFC_B!D7*0.65</f>
        <v>-34.905000000000001</v>
      </c>
      <c r="E10" s="8">
        <f>DFC_B!E7*0.65</f>
        <v>-34.905000000000001</v>
      </c>
      <c r="F10" s="8">
        <f>DFC_B!F7*0.65</f>
        <v>-52.65</v>
      </c>
      <c r="G10" s="8">
        <f>DFC_B!G7*0.65</f>
        <v>-52.65</v>
      </c>
      <c r="H10" s="8">
        <f>DFC_B!H7*0.65</f>
        <v>-52.65</v>
      </c>
      <c r="I10" s="8">
        <f>DFC_B!I7*0.65</f>
        <v>-52.65</v>
      </c>
      <c r="J10" s="8">
        <f>DFC_B!J7*0.65</f>
        <v>-77.61</v>
      </c>
      <c r="K10" s="8">
        <f>DFC_B!K7*0.65</f>
        <v>-77.61</v>
      </c>
      <c r="L10" s="8">
        <f>DFC_B!L7*0.65</f>
        <v>-77.61</v>
      </c>
      <c r="M10" s="8">
        <f>DFC_B!M7*0.65</f>
        <v>-77.61</v>
      </c>
    </row>
    <row r="11" spans="1:13">
      <c r="A11" s="5" t="s">
        <v>289</v>
      </c>
      <c r="B11" s="8">
        <f>DFC_B!B7*(1-0.65)</f>
        <v>-18.794999999999998</v>
      </c>
      <c r="C11" s="8">
        <f>DFC_B!C7*(1-0.65)</f>
        <v>-18.794999999999998</v>
      </c>
      <c r="D11" s="8">
        <f>DFC_B!D7*(1-0.65)</f>
        <v>-18.794999999999998</v>
      </c>
      <c r="E11" s="8">
        <f>DFC_B!E7*(1-0.65)</f>
        <v>-18.794999999999998</v>
      </c>
      <c r="F11" s="8">
        <f>DFC_B!F7*(1-0.65)</f>
        <v>-28.349999999999998</v>
      </c>
      <c r="G11" s="8">
        <f>DFC_B!G7*(1-0.65)</f>
        <v>-28.349999999999998</v>
      </c>
      <c r="H11" s="8">
        <f>DFC_B!H7*(1-0.65)</f>
        <v>-28.349999999999998</v>
      </c>
      <c r="I11" s="8">
        <f>DFC_B!I7*(1-0.65)</f>
        <v>-28.349999999999998</v>
      </c>
      <c r="J11" s="8">
        <f>DFC_B!J7*(1-0.65)</f>
        <v>-41.79</v>
      </c>
      <c r="K11" s="8">
        <f>DFC_B!K7*(1-0.65)</f>
        <v>-41.79</v>
      </c>
      <c r="L11" s="8">
        <f>DFC_B!L7*(1-0.65)</f>
        <v>-41.79</v>
      </c>
      <c r="M11" s="8">
        <f>DFC_B!M7*(1-0.65)</f>
        <v>-41.79</v>
      </c>
    </row>
    <row r="12" spans="1:13">
      <c r="A12" s="5" t="s">
        <v>290</v>
      </c>
      <c r="B12" s="8">
        <f t="shared" ref="B12:M12" si="1">SUM(B9:B11)</f>
        <v>-47.130808988764045</v>
      </c>
      <c r="C12" s="8">
        <f t="shared" si="1"/>
        <v>-40.744095505617977</v>
      </c>
      <c r="D12" s="8">
        <f t="shared" si="1"/>
        <v>-34.174904494382019</v>
      </c>
      <c r="E12" s="8">
        <f t="shared" si="1"/>
        <v>-27.788191011235948</v>
      </c>
      <c r="F12" s="8">
        <f t="shared" si="1"/>
        <v>-29.176382022471895</v>
      </c>
      <c r="G12" s="8">
        <f t="shared" si="1"/>
        <v>-21.329848314606739</v>
      </c>
      <c r="H12" s="8">
        <f t="shared" si="1"/>
        <v>-11.572296410023494</v>
      </c>
      <c r="I12" s="8">
        <f t="shared" si="1"/>
        <v>-4.5250561797752873</v>
      </c>
      <c r="J12" s="8">
        <f t="shared" si="1"/>
        <v>12.634490586477035</v>
      </c>
      <c r="K12" s="8">
        <f t="shared" si="1"/>
        <v>30.520156026474929</v>
      </c>
      <c r="L12" s="8">
        <f t="shared" si="1"/>
        <v>55.254122742546294</v>
      </c>
      <c r="M12" s="8">
        <f t="shared" si="1"/>
        <v>73.123918454935648</v>
      </c>
    </row>
    <row r="13" spans="1:13">
      <c r="A13" s="5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>
      <c r="A14" s="41" t="s">
        <v>291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>
      <c r="A15" s="5" t="s">
        <v>292</v>
      </c>
      <c r="B15" s="8">
        <f>DFC_B!B10</f>
        <v>-8</v>
      </c>
      <c r="C15" s="8">
        <f>DFC_B!C10</f>
        <v>0</v>
      </c>
      <c r="D15" s="8">
        <f>DFC_B!D10</f>
        <v>0</v>
      </c>
      <c r="E15" s="8">
        <f>DFC_B!E10</f>
        <v>0</v>
      </c>
      <c r="F15" s="8">
        <f>DFC_B!F10</f>
        <v>-24</v>
      </c>
      <c r="G15" s="8">
        <f>DFC_B!G10</f>
        <v>0</v>
      </c>
      <c r="H15" s="8">
        <f>DFC_B!H10</f>
        <v>0</v>
      </c>
      <c r="I15" s="8">
        <f>DFC_B!I10</f>
        <v>0</v>
      </c>
      <c r="J15" s="8">
        <f>DFC_B!J10</f>
        <v>-48</v>
      </c>
      <c r="K15" s="8">
        <f>DFC_B!K10</f>
        <v>0</v>
      </c>
      <c r="L15" s="8">
        <f>DFC_B!L10</f>
        <v>0</v>
      </c>
      <c r="M15" s="8">
        <f>DFC_B!M10</f>
        <v>0</v>
      </c>
    </row>
    <row r="16" spans="1:13">
      <c r="A16" s="5" t="s">
        <v>293</v>
      </c>
      <c r="B16" s="8">
        <f t="shared" ref="B16:M16" si="2">B12+B15</f>
        <v>-55.130808988764045</v>
      </c>
      <c r="C16" s="8">
        <f t="shared" si="2"/>
        <v>-40.744095505617977</v>
      </c>
      <c r="D16" s="8">
        <f t="shared" si="2"/>
        <v>-34.174904494382019</v>
      </c>
      <c r="E16" s="8">
        <f t="shared" si="2"/>
        <v>-27.788191011235948</v>
      </c>
      <c r="F16" s="8">
        <f t="shared" si="2"/>
        <v>-53.176382022471898</v>
      </c>
      <c r="G16" s="8">
        <f t="shared" si="2"/>
        <v>-21.329848314606739</v>
      </c>
      <c r="H16" s="8">
        <f t="shared" si="2"/>
        <v>-11.572296410023494</v>
      </c>
      <c r="I16" s="8">
        <f t="shared" si="2"/>
        <v>-4.5250561797752873</v>
      </c>
      <c r="J16" s="8">
        <f t="shared" si="2"/>
        <v>-35.365509413522965</v>
      </c>
      <c r="K16" s="8">
        <f t="shared" si="2"/>
        <v>30.520156026474929</v>
      </c>
      <c r="L16" s="8">
        <f t="shared" si="2"/>
        <v>55.254122742546294</v>
      </c>
      <c r="M16" s="8">
        <f t="shared" si="2"/>
        <v>73.123918454935648</v>
      </c>
    </row>
    <row r="17" spans="1:13">
      <c r="A17" s="5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>
      <c r="A18" s="41" t="s">
        <v>294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</row>
    <row r="19" spans="1:13">
      <c r="A19" s="5" t="s">
        <v>295</v>
      </c>
      <c r="B19" s="43">
        <f>DFC_B!B12</f>
        <v>337.50709234040039</v>
      </c>
      <c r="C19" s="8">
        <f>DFC_B!C12</f>
        <v>0</v>
      </c>
      <c r="D19" s="8">
        <f>DFC_B!D12</f>
        <v>0</v>
      </c>
      <c r="E19" s="8">
        <f>DFC_B!E12</f>
        <v>0</v>
      </c>
      <c r="F19" s="8">
        <f>DFC_B!F12</f>
        <v>0</v>
      </c>
      <c r="G19" s="8">
        <f>DFC_B!G12</f>
        <v>0</v>
      </c>
      <c r="H19" s="8">
        <f>DFC_B!H12</f>
        <v>0</v>
      </c>
      <c r="I19" s="8">
        <f>DFC_B!I12</f>
        <v>0</v>
      </c>
      <c r="J19" s="8">
        <f>DFC_B!J12</f>
        <v>0</v>
      </c>
      <c r="K19" s="8">
        <f>DFC_B!K12</f>
        <v>0</v>
      </c>
      <c r="L19" s="8">
        <f>DFC_B!L12</f>
        <v>0</v>
      </c>
      <c r="M19" s="8">
        <f>DFC_B!M12</f>
        <v>0</v>
      </c>
    </row>
    <row r="20" spans="1:13">
      <c r="A20" s="5" t="s">
        <v>296</v>
      </c>
      <c r="B20" s="8">
        <f t="shared" ref="B20:M20" si="3">B16+B19</f>
        <v>282.37628335163635</v>
      </c>
      <c r="C20" s="8">
        <f t="shared" si="3"/>
        <v>-40.744095505617977</v>
      </c>
      <c r="D20" s="8">
        <f t="shared" si="3"/>
        <v>-34.174904494382019</v>
      </c>
      <c r="E20" s="8">
        <f t="shared" si="3"/>
        <v>-27.788191011235948</v>
      </c>
      <c r="F20" s="8">
        <f t="shared" si="3"/>
        <v>-53.176382022471898</v>
      </c>
      <c r="G20" s="8">
        <f t="shared" si="3"/>
        <v>-21.329848314606739</v>
      </c>
      <c r="H20" s="8">
        <f t="shared" si="3"/>
        <v>-11.572296410023494</v>
      </c>
      <c r="I20" s="8">
        <f t="shared" si="3"/>
        <v>-4.5250561797752873</v>
      </c>
      <c r="J20" s="8">
        <f t="shared" si="3"/>
        <v>-35.365509413522965</v>
      </c>
      <c r="K20" s="8">
        <f t="shared" si="3"/>
        <v>30.520156026474929</v>
      </c>
      <c r="L20" s="8">
        <f t="shared" si="3"/>
        <v>55.254122742546294</v>
      </c>
      <c r="M20" s="8">
        <f t="shared" si="3"/>
        <v>73.123918454935648</v>
      </c>
    </row>
    <row r="21" spans="1:13">
      <c r="A21" s="5" t="s">
        <v>297</v>
      </c>
      <c r="B21" s="8">
        <f>B20</f>
        <v>282.37628335163635</v>
      </c>
      <c r="C21" s="8">
        <f t="shared" ref="C21:M21" si="4">B21+C20</f>
        <v>241.63218784601838</v>
      </c>
      <c r="D21" s="8">
        <f t="shared" si="4"/>
        <v>207.45728335163636</v>
      </c>
      <c r="E21" s="8">
        <f t="shared" si="4"/>
        <v>179.66909234040043</v>
      </c>
      <c r="F21" s="8">
        <f t="shared" si="4"/>
        <v>126.49271031792853</v>
      </c>
      <c r="G21" s="8">
        <f t="shared" si="4"/>
        <v>105.16286200332179</v>
      </c>
      <c r="H21" s="8">
        <f t="shared" si="4"/>
        <v>93.590565593298294</v>
      </c>
      <c r="I21" s="8">
        <f t="shared" si="4"/>
        <v>89.065509413523003</v>
      </c>
      <c r="J21" s="8">
        <f t="shared" si="4"/>
        <v>53.700000000000038</v>
      </c>
      <c r="K21" s="8">
        <f t="shared" si="4"/>
        <v>84.220156026474967</v>
      </c>
      <c r="L21" s="8">
        <f t="shared" si="4"/>
        <v>139.47427876902125</v>
      </c>
      <c r="M21" s="8">
        <f t="shared" si="4"/>
        <v>212.5981972239569</v>
      </c>
    </row>
    <row r="22" spans="1:1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64" t="s">
        <v>300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</row>
    <row r="24" spans="1:13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</row>
    <row r="25" spans="1:13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</row>
    <row r="26" spans="1:1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</sheetData>
  <mergeCells count="2">
    <mergeCell ref="A1:M1"/>
    <mergeCell ref="A23:M2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0"/>
  <sheetViews>
    <sheetView workbookViewId="0"/>
  </sheetViews>
  <sheetFormatPr baseColWidth="10" defaultColWidth="8.83203125" defaultRowHeight="15"/>
  <cols>
    <col min="1" max="1" width="25" customWidth="1"/>
    <col min="2" max="4" width="28" customWidth="1"/>
    <col min="5" max="5" width="28.33203125" customWidth="1"/>
    <col min="6" max="6" width="18.33203125" customWidth="1"/>
    <col min="7" max="7" width="10.83203125" customWidth="1"/>
    <col min="8" max="8" width="18.33203125" customWidth="1"/>
  </cols>
  <sheetData>
    <row r="1" spans="1:8">
      <c r="A1" s="65" t="s">
        <v>301</v>
      </c>
      <c r="B1" s="65"/>
      <c r="C1" s="65"/>
      <c r="D1" s="65"/>
      <c r="E1" s="65"/>
      <c r="F1" s="65"/>
      <c r="G1" s="65"/>
      <c r="H1" s="65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39" t="s">
        <v>302</v>
      </c>
      <c r="B3" s="39" t="s">
        <v>303</v>
      </c>
      <c r="C3" s="39" t="s">
        <v>304</v>
      </c>
      <c r="D3" s="39" t="s">
        <v>305</v>
      </c>
      <c r="E3" s="39" t="s">
        <v>306</v>
      </c>
      <c r="F3" s="39" t="s">
        <v>307</v>
      </c>
      <c r="G3" s="39" t="s">
        <v>308</v>
      </c>
      <c r="H3" s="39" t="s">
        <v>86</v>
      </c>
    </row>
    <row r="4" spans="1:8">
      <c r="A4" s="5" t="s">
        <v>309</v>
      </c>
      <c r="B4" s="44" t="s">
        <v>310</v>
      </c>
      <c r="C4" s="5" t="s">
        <v>311</v>
      </c>
      <c r="D4" s="5" t="s">
        <v>312</v>
      </c>
      <c r="E4" s="5" t="s">
        <v>313</v>
      </c>
      <c r="F4" s="5" t="s">
        <v>314</v>
      </c>
      <c r="G4" s="5" t="s">
        <v>315</v>
      </c>
      <c r="H4" s="5" t="s">
        <v>316</v>
      </c>
    </row>
    <row r="5" spans="1:8" ht="29">
      <c r="A5" s="5" t="s">
        <v>317</v>
      </c>
      <c r="B5" s="44" t="s">
        <v>318</v>
      </c>
      <c r="C5" s="5" t="s">
        <v>319</v>
      </c>
      <c r="D5" s="5" t="s">
        <v>320</v>
      </c>
      <c r="E5" s="5" t="s">
        <v>321</v>
      </c>
      <c r="F5" s="5" t="s">
        <v>314</v>
      </c>
      <c r="G5" s="5" t="s">
        <v>315</v>
      </c>
      <c r="H5" s="5" t="s">
        <v>322</v>
      </c>
    </row>
    <row r="6" spans="1:8" ht="29">
      <c r="A6" s="5" t="s">
        <v>323</v>
      </c>
      <c r="B6" s="44" t="s">
        <v>318</v>
      </c>
      <c r="C6" s="5" t="s">
        <v>324</v>
      </c>
      <c r="D6" s="5" t="s">
        <v>325</v>
      </c>
      <c r="E6" s="5" t="s">
        <v>326</v>
      </c>
      <c r="F6" s="5" t="s">
        <v>314</v>
      </c>
      <c r="G6" s="5" t="s">
        <v>315</v>
      </c>
      <c r="H6" s="5" t="s">
        <v>14</v>
      </c>
    </row>
    <row r="7" spans="1:8" ht="29">
      <c r="A7" s="5" t="s">
        <v>327</v>
      </c>
      <c r="B7" s="44" t="s">
        <v>318</v>
      </c>
      <c r="C7" s="5" t="s">
        <v>328</v>
      </c>
      <c r="D7" s="5" t="s">
        <v>329</v>
      </c>
      <c r="E7" s="5" t="s">
        <v>330</v>
      </c>
      <c r="F7" s="5" t="s">
        <v>314</v>
      </c>
      <c r="G7" s="5" t="s">
        <v>315</v>
      </c>
      <c r="H7" s="5" t="s">
        <v>331</v>
      </c>
    </row>
    <row r="8" spans="1:8">
      <c r="A8" s="5" t="s">
        <v>332</v>
      </c>
      <c r="B8" s="44" t="s">
        <v>318</v>
      </c>
      <c r="C8" s="5" t="s">
        <v>333</v>
      </c>
      <c r="D8" s="5" t="s">
        <v>334</v>
      </c>
      <c r="E8" s="5" t="s">
        <v>335</v>
      </c>
      <c r="F8" s="5" t="s">
        <v>314</v>
      </c>
      <c r="G8" s="5" t="s">
        <v>315</v>
      </c>
      <c r="H8" s="5" t="s">
        <v>316</v>
      </c>
    </row>
    <row r="9" spans="1:8" ht="29">
      <c r="A9" s="5" t="s">
        <v>336</v>
      </c>
      <c r="B9" s="44" t="s">
        <v>318</v>
      </c>
      <c r="C9" s="5" t="s">
        <v>337</v>
      </c>
      <c r="D9" s="5" t="s">
        <v>338</v>
      </c>
      <c r="E9" s="5" t="s">
        <v>339</v>
      </c>
      <c r="F9" s="5" t="s">
        <v>314</v>
      </c>
      <c r="G9" s="5" t="s">
        <v>315</v>
      </c>
      <c r="H9" s="5" t="s">
        <v>316</v>
      </c>
    </row>
    <row r="10" spans="1:8" ht="29">
      <c r="A10" s="5" t="s">
        <v>340</v>
      </c>
      <c r="B10" s="44" t="s">
        <v>318</v>
      </c>
      <c r="C10" s="5" t="s">
        <v>341</v>
      </c>
      <c r="D10" s="5" t="s">
        <v>342</v>
      </c>
      <c r="E10" s="5" t="s">
        <v>343</v>
      </c>
      <c r="F10" s="5" t="s">
        <v>344</v>
      </c>
      <c r="G10" s="5" t="s">
        <v>315</v>
      </c>
      <c r="H10" s="5" t="s">
        <v>345</v>
      </c>
    </row>
    <row r="11" spans="1:8" ht="29">
      <c r="A11" s="5" t="s">
        <v>346</v>
      </c>
      <c r="B11" s="44" t="s">
        <v>347</v>
      </c>
      <c r="C11" s="5" t="s">
        <v>348</v>
      </c>
      <c r="D11" s="5" t="s">
        <v>349</v>
      </c>
      <c r="E11" s="5" t="s">
        <v>350</v>
      </c>
      <c r="F11" s="5" t="s">
        <v>351</v>
      </c>
      <c r="G11" s="5" t="s">
        <v>315</v>
      </c>
      <c r="H11" s="5" t="s">
        <v>352</v>
      </c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64" t="s">
        <v>353</v>
      </c>
      <c r="B13" s="64"/>
      <c r="C13" s="64"/>
      <c r="D13" s="64"/>
      <c r="E13" s="64"/>
      <c r="F13" s="64"/>
      <c r="G13" s="64"/>
      <c r="H13" s="64"/>
    </row>
    <row r="14" spans="1:8">
      <c r="A14" s="64"/>
      <c r="B14" s="64"/>
      <c r="C14" s="64"/>
      <c r="D14" s="64"/>
      <c r="E14" s="64"/>
      <c r="F14" s="64"/>
      <c r="G14" s="64"/>
      <c r="H14" s="64"/>
    </row>
    <row r="15" spans="1:8">
      <c r="A15" s="64"/>
      <c r="B15" s="64"/>
      <c r="C15" s="64"/>
      <c r="D15" s="64"/>
      <c r="E15" s="64"/>
      <c r="F15" s="64"/>
      <c r="G15" s="64"/>
      <c r="H15" s="64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39" t="s">
        <v>354</v>
      </c>
      <c r="B18" s="39" t="s">
        <v>355</v>
      </c>
      <c r="C18" s="39" t="s">
        <v>356</v>
      </c>
      <c r="D18" s="39" t="s">
        <v>357</v>
      </c>
      <c r="E18" s="39" t="s">
        <v>358</v>
      </c>
      <c r="F18" s="39" t="s">
        <v>359</v>
      </c>
      <c r="G18" s="39" t="s">
        <v>85</v>
      </c>
      <c r="H18" s="39" t="s">
        <v>360</v>
      </c>
    </row>
    <row r="19" spans="1:8" ht="29">
      <c r="A19" s="5">
        <v>1</v>
      </c>
      <c r="B19" s="5" t="s">
        <v>361</v>
      </c>
      <c r="C19" s="5" t="s">
        <v>362</v>
      </c>
      <c r="D19" s="5" t="s">
        <v>363</v>
      </c>
      <c r="E19" s="5" t="s">
        <v>364</v>
      </c>
      <c r="F19" s="5" t="s">
        <v>365</v>
      </c>
      <c r="G19" s="5" t="s">
        <v>366</v>
      </c>
      <c r="H19" s="5" t="s">
        <v>367</v>
      </c>
    </row>
    <row r="20" spans="1:8" ht="43">
      <c r="A20" s="5">
        <v>2</v>
      </c>
      <c r="B20" s="5" t="s">
        <v>368</v>
      </c>
      <c r="C20" s="5" t="s">
        <v>369</v>
      </c>
      <c r="D20" s="5" t="s">
        <v>370</v>
      </c>
      <c r="E20" s="5" t="s">
        <v>371</v>
      </c>
      <c r="F20" s="5" t="s">
        <v>372</v>
      </c>
      <c r="G20" s="5" t="s">
        <v>318</v>
      </c>
      <c r="H20" s="5"/>
    </row>
    <row r="21" spans="1:8" ht="29">
      <c r="A21" s="5">
        <v>3</v>
      </c>
      <c r="B21" s="5" t="s">
        <v>373</v>
      </c>
      <c r="C21" s="5" t="s">
        <v>374</v>
      </c>
      <c r="D21" s="5" t="s">
        <v>375</v>
      </c>
      <c r="E21" s="5" t="s">
        <v>376</v>
      </c>
      <c r="F21" s="5" t="s">
        <v>377</v>
      </c>
      <c r="G21" s="5" t="s">
        <v>318</v>
      </c>
      <c r="H21" s="5"/>
    </row>
    <row r="22" spans="1:8">
      <c r="A22" s="5">
        <v>4</v>
      </c>
      <c r="B22" s="5" t="s">
        <v>378</v>
      </c>
      <c r="C22" s="5" t="s">
        <v>379</v>
      </c>
      <c r="D22" s="5" t="s">
        <v>380</v>
      </c>
      <c r="E22" s="5" t="s">
        <v>381</v>
      </c>
      <c r="F22" s="5" t="s">
        <v>372</v>
      </c>
      <c r="G22" s="5" t="s">
        <v>318</v>
      </c>
      <c r="H22" s="5"/>
    </row>
    <row r="23" spans="1:8" ht="29">
      <c r="A23" s="5">
        <v>5</v>
      </c>
      <c r="B23" s="5" t="s">
        <v>382</v>
      </c>
      <c r="C23" s="5" t="s">
        <v>383</v>
      </c>
      <c r="D23" s="5" t="s">
        <v>384</v>
      </c>
      <c r="E23" s="5" t="s">
        <v>385</v>
      </c>
      <c r="F23" s="5" t="s">
        <v>386</v>
      </c>
      <c r="G23" s="5" t="s">
        <v>318</v>
      </c>
      <c r="H23" s="5"/>
    </row>
    <row r="24" spans="1:8" ht="29">
      <c r="A24" s="5">
        <v>6</v>
      </c>
      <c r="B24" s="5" t="s">
        <v>387</v>
      </c>
      <c r="C24" s="5" t="s">
        <v>388</v>
      </c>
      <c r="D24" s="5" t="s">
        <v>332</v>
      </c>
      <c r="E24" s="5" t="s">
        <v>389</v>
      </c>
      <c r="F24" s="5" t="s">
        <v>333</v>
      </c>
      <c r="G24" s="5" t="s">
        <v>318</v>
      </c>
      <c r="H24" s="5"/>
    </row>
    <row r="25" spans="1:8" ht="29">
      <c r="A25" s="5">
        <v>7</v>
      </c>
      <c r="B25" s="5" t="s">
        <v>390</v>
      </c>
      <c r="C25" s="5" t="s">
        <v>391</v>
      </c>
      <c r="D25" s="5" t="s">
        <v>392</v>
      </c>
      <c r="E25" s="5" t="s">
        <v>393</v>
      </c>
      <c r="F25" s="5" t="s">
        <v>394</v>
      </c>
      <c r="G25" s="5" t="s">
        <v>318</v>
      </c>
      <c r="H25" s="5"/>
    </row>
    <row r="26" spans="1:8" ht="29">
      <c r="A26" s="5">
        <v>8</v>
      </c>
      <c r="B26" s="5" t="s">
        <v>395</v>
      </c>
      <c r="C26" s="5" t="s">
        <v>396</v>
      </c>
      <c r="D26" s="5" t="s">
        <v>397</v>
      </c>
      <c r="E26" s="5" t="s">
        <v>398</v>
      </c>
      <c r="F26" s="5" t="s">
        <v>333</v>
      </c>
      <c r="G26" s="5" t="s">
        <v>318</v>
      </c>
      <c r="H26" s="5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</sheetData>
  <mergeCells count="2">
    <mergeCell ref="A1:H1"/>
    <mergeCell ref="A13:H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70"/>
  <sheetViews>
    <sheetView workbookViewId="0"/>
  </sheetViews>
  <sheetFormatPr baseColWidth="10" defaultColWidth="8.83203125" defaultRowHeight="15"/>
  <cols>
    <col min="1" max="1" width="30" customWidth="1"/>
    <col min="2" max="4" width="11.5" customWidth="1"/>
    <col min="5" max="5" width="9.5" customWidth="1"/>
    <col min="6" max="6" width="12.6640625" customWidth="1"/>
    <col min="7" max="7" width="8.6640625" customWidth="1"/>
    <col min="8" max="8" width="9.5" customWidth="1"/>
  </cols>
  <sheetData>
    <row r="1" spans="1:26">
      <c r="A1" s="66" t="s">
        <v>399</v>
      </c>
      <c r="B1" s="66"/>
      <c r="C1" s="66"/>
      <c r="D1" s="66"/>
      <c r="E1" s="66"/>
      <c r="F1" s="66"/>
      <c r="G1" s="66"/>
      <c r="H1" s="6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9">
      <c r="A3" s="45" t="s">
        <v>259</v>
      </c>
      <c r="B3" s="45" t="s">
        <v>400</v>
      </c>
      <c r="C3" s="45" t="s">
        <v>401</v>
      </c>
      <c r="D3" s="45" t="s">
        <v>402</v>
      </c>
      <c r="E3" s="45" t="s">
        <v>403</v>
      </c>
      <c r="F3" s="45" t="s">
        <v>159</v>
      </c>
      <c r="G3" s="45" t="s">
        <v>404</v>
      </c>
      <c r="H3" s="45" t="s">
        <v>405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 t="s">
        <v>134</v>
      </c>
      <c r="B4" s="24">
        <v>38000</v>
      </c>
      <c r="C4" s="24">
        <v>140000</v>
      </c>
      <c r="D4" s="24">
        <v>372000</v>
      </c>
      <c r="E4" s="24">
        <v>550000</v>
      </c>
      <c r="F4" s="2">
        <v>2763</v>
      </c>
      <c r="G4" s="2">
        <v>50</v>
      </c>
      <c r="H4" s="2">
        <v>320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 t="s">
        <v>135</v>
      </c>
      <c r="B5" s="24">
        <v>71000</v>
      </c>
      <c r="C5" s="24">
        <v>284000</v>
      </c>
      <c r="D5" s="24">
        <v>744000</v>
      </c>
      <c r="E5" s="24">
        <v>1099000</v>
      </c>
      <c r="F5" s="2">
        <v>5508</v>
      </c>
      <c r="G5" s="2">
        <v>100</v>
      </c>
      <c r="H5" s="2">
        <v>650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 t="s">
        <v>136</v>
      </c>
      <c r="B6" s="24">
        <v>113000</v>
      </c>
      <c r="C6" s="24">
        <v>455000</v>
      </c>
      <c r="D6" s="24">
        <v>1270000</v>
      </c>
      <c r="E6" s="24">
        <v>1838000</v>
      </c>
      <c r="F6" s="2">
        <v>9180</v>
      </c>
      <c r="G6" s="2">
        <v>160</v>
      </c>
      <c r="H6" s="2">
        <v>1100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67" t="s">
        <v>406</v>
      </c>
      <c r="B8" s="67"/>
      <c r="C8" s="67"/>
      <c r="D8" s="67"/>
      <c r="E8" s="67"/>
      <c r="F8" s="67"/>
      <c r="G8" s="67"/>
      <c r="H8" s="67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67"/>
      <c r="B9" s="67"/>
      <c r="C9" s="67"/>
      <c r="D9" s="67"/>
      <c r="E9" s="67"/>
      <c r="F9" s="67"/>
      <c r="G9" s="67"/>
      <c r="H9" s="67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67"/>
      <c r="B10" s="67"/>
      <c r="C10" s="67"/>
      <c r="D10" s="67"/>
      <c r="E10" s="67"/>
      <c r="F10" s="67"/>
      <c r="G10" s="67"/>
      <c r="H10" s="67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45" t="s">
        <v>407</v>
      </c>
      <c r="B12" s="45" t="s">
        <v>134</v>
      </c>
      <c r="C12" s="45" t="s">
        <v>135</v>
      </c>
      <c r="D12" s="45" t="s">
        <v>136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9">
      <c r="A13" s="5" t="s">
        <v>408</v>
      </c>
      <c r="B13" s="5" t="s">
        <v>409</v>
      </c>
      <c r="C13" s="5" t="s">
        <v>410</v>
      </c>
      <c r="D13" s="5" t="s">
        <v>411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9">
      <c r="A14" s="5" t="s">
        <v>412</v>
      </c>
      <c r="B14" s="5" t="s">
        <v>413</v>
      </c>
      <c r="C14" s="5" t="s">
        <v>413</v>
      </c>
      <c r="D14" s="5" t="s">
        <v>413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9">
      <c r="A15" s="5" t="s">
        <v>202</v>
      </c>
      <c r="B15" s="5" t="s">
        <v>413</v>
      </c>
      <c r="C15" s="5" t="s">
        <v>413</v>
      </c>
      <c r="D15" s="5" t="s">
        <v>413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67" t="s">
        <v>414</v>
      </c>
      <c r="B17" s="67"/>
      <c r="C17" s="67"/>
      <c r="D17" s="67"/>
      <c r="E17" s="67"/>
      <c r="F17" s="67"/>
      <c r="G17" s="67"/>
      <c r="H17" s="67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67"/>
      <c r="B18" s="67"/>
      <c r="C18" s="67"/>
      <c r="D18" s="67"/>
      <c r="E18" s="67"/>
      <c r="F18" s="67"/>
      <c r="G18" s="67"/>
      <c r="H18" s="67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67"/>
      <c r="B19" s="67"/>
      <c r="C19" s="67"/>
      <c r="D19" s="67"/>
      <c r="E19" s="67"/>
      <c r="F19" s="67"/>
      <c r="G19" s="67"/>
      <c r="H19" s="67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</sheetData>
  <mergeCells count="3">
    <mergeCell ref="A1:H1"/>
    <mergeCell ref="A8:H10"/>
    <mergeCell ref="A17:H1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70"/>
  <sheetViews>
    <sheetView workbookViewId="0"/>
  </sheetViews>
  <sheetFormatPr baseColWidth="10" defaultColWidth="8.83203125" defaultRowHeight="15"/>
  <cols>
    <col min="1" max="1" width="30" customWidth="1"/>
    <col min="2" max="2" width="12.1640625" customWidth="1"/>
    <col min="3" max="3" width="9" customWidth="1"/>
    <col min="4" max="4" width="25.83203125" customWidth="1"/>
    <col min="5" max="5" width="28.6640625" customWidth="1"/>
    <col min="6" max="6" width="8" customWidth="1"/>
    <col min="7" max="13" width="5.83203125" customWidth="1"/>
    <col min="14" max="20" width="10.83203125" customWidth="1"/>
    <col min="21" max="21" width="10.6640625" customWidth="1"/>
    <col min="22" max="22" width="10.1640625" customWidth="1"/>
    <col min="23" max="23" width="10.83203125" customWidth="1"/>
    <col min="24" max="26" width="10.1640625" customWidth="1"/>
  </cols>
  <sheetData>
    <row r="1" spans="1:26">
      <c r="A1" s="66" t="s">
        <v>415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45" t="s">
        <v>2</v>
      </c>
      <c r="B3" s="45" t="s">
        <v>3</v>
      </c>
      <c r="C3" s="45" t="s">
        <v>4</v>
      </c>
      <c r="D3" s="45" t="s">
        <v>85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9">
      <c r="A4" s="5" t="s">
        <v>416</v>
      </c>
      <c r="B4" s="46">
        <v>0.15</v>
      </c>
      <c r="C4" s="5" t="s">
        <v>417</v>
      </c>
      <c r="D4" s="5" t="s">
        <v>418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 t="s">
        <v>419</v>
      </c>
      <c r="B5" s="32">
        <f>(1+B4)^(1/4)-1</f>
        <v>3.5558076341622114E-2</v>
      </c>
      <c r="C5" s="5" t="s">
        <v>420</v>
      </c>
      <c r="D5" s="5" t="s">
        <v>421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 t="s">
        <v>11</v>
      </c>
      <c r="B6" s="5">
        <v>12</v>
      </c>
      <c r="C6" s="5" t="s">
        <v>12</v>
      </c>
      <c r="D6" s="5" t="s">
        <v>422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45" t="s">
        <v>109</v>
      </c>
      <c r="B9" s="45" t="s">
        <v>70</v>
      </c>
      <c r="C9" s="45" t="s">
        <v>71</v>
      </c>
      <c r="D9" s="45" t="s">
        <v>72</v>
      </c>
      <c r="E9" s="45" t="s">
        <v>73</v>
      </c>
      <c r="F9" s="45" t="s">
        <v>74</v>
      </c>
      <c r="G9" s="45" t="s">
        <v>75</v>
      </c>
      <c r="H9" s="45" t="s">
        <v>76</v>
      </c>
      <c r="I9" s="45" t="s">
        <v>77</v>
      </c>
      <c r="J9" s="45" t="s">
        <v>78</v>
      </c>
      <c r="K9" s="45" t="s">
        <v>79</v>
      </c>
      <c r="L9" s="45" t="s">
        <v>80</v>
      </c>
      <c r="M9" s="45" t="s">
        <v>81</v>
      </c>
      <c r="N9" s="5" t="s">
        <v>423</v>
      </c>
      <c r="O9" s="5" t="s">
        <v>70</v>
      </c>
      <c r="P9" s="5" t="s">
        <v>71</v>
      </c>
      <c r="Q9" s="5" t="s">
        <v>72</v>
      </c>
      <c r="R9" s="5" t="s">
        <v>73</v>
      </c>
      <c r="S9" s="5" t="s">
        <v>74</v>
      </c>
      <c r="T9" s="5" t="s">
        <v>75</v>
      </c>
      <c r="U9" s="5" t="s">
        <v>76</v>
      </c>
      <c r="V9" s="5" t="s">
        <v>77</v>
      </c>
      <c r="W9" s="5" t="s">
        <v>78</v>
      </c>
      <c r="X9" s="5" t="s">
        <v>79</v>
      </c>
      <c r="Y9" s="5" t="s">
        <v>80</v>
      </c>
      <c r="Z9" s="5" t="s">
        <v>81</v>
      </c>
    </row>
    <row r="10" spans="1:26">
      <c r="A10" s="5" t="s">
        <v>424</v>
      </c>
      <c r="B10" s="7">
        <f>DFC_Final_A!B16</f>
        <v>-17.930808988764042</v>
      </c>
      <c r="C10" s="7">
        <f>DFC_Final_A!C16</f>
        <v>-3.5440955056179737</v>
      </c>
      <c r="D10" s="7">
        <f>DFC_Final_A!D16</f>
        <v>3.0250955056179771</v>
      </c>
      <c r="E10" s="7">
        <f>DFC_Final_A!E16</f>
        <v>9.4118089887640508</v>
      </c>
      <c r="F10" s="7">
        <f>DFC_Final_A!F16</f>
        <v>-21.876382022471898</v>
      </c>
      <c r="G10" s="7">
        <f>DFC_Final_A!G16</f>
        <v>9.9701516853932581</v>
      </c>
      <c r="H10" s="7">
        <f>DFC_Final_A!H16</f>
        <v>19.727703589976503</v>
      </c>
      <c r="I10" s="7">
        <f>DFC_Final_A!I16</f>
        <v>26.77494382022471</v>
      </c>
      <c r="J10" s="7">
        <f>DFC_Final_A!J16</f>
        <v>-11.365509413522972</v>
      </c>
      <c r="K10" s="7">
        <f>DFC_Final_A!K16</f>
        <v>54.520156026474922</v>
      </c>
      <c r="L10" s="7">
        <f>DFC_Final_A!L16</f>
        <v>79.254122742546286</v>
      </c>
      <c r="M10" s="7">
        <f>DFC_Final_A!M16</f>
        <v>97.123918454935662</v>
      </c>
      <c r="N10" s="5">
        <f>-B15</f>
        <v>-47.414382022471891</v>
      </c>
      <c r="O10" s="5">
        <f t="shared" ref="O10:Z11" si="0">B10</f>
        <v>-17.930808988764042</v>
      </c>
      <c r="P10" s="5">
        <f t="shared" si="0"/>
        <v>-3.5440955056179737</v>
      </c>
      <c r="Q10" s="5">
        <f t="shared" si="0"/>
        <v>3.0250955056179771</v>
      </c>
      <c r="R10" s="5">
        <f t="shared" si="0"/>
        <v>9.4118089887640508</v>
      </c>
      <c r="S10" s="5">
        <f t="shared" si="0"/>
        <v>-21.876382022471898</v>
      </c>
      <c r="T10" s="5">
        <f t="shared" si="0"/>
        <v>9.9701516853932581</v>
      </c>
      <c r="U10" s="5">
        <f t="shared" si="0"/>
        <v>19.727703589976503</v>
      </c>
      <c r="V10" s="5">
        <f t="shared" si="0"/>
        <v>26.77494382022471</v>
      </c>
      <c r="W10" s="5">
        <f t="shared" si="0"/>
        <v>-11.365509413522972</v>
      </c>
      <c r="X10" s="5">
        <f t="shared" si="0"/>
        <v>54.520156026474922</v>
      </c>
      <c r="Y10" s="5">
        <f t="shared" si="0"/>
        <v>79.254122742546286</v>
      </c>
      <c r="Z10" s="5">
        <f t="shared" si="0"/>
        <v>97.123918454935662</v>
      </c>
    </row>
    <row r="11" spans="1:26">
      <c r="A11" s="5" t="s">
        <v>425</v>
      </c>
      <c r="B11" s="7">
        <f>DFC_Final_B!B16</f>
        <v>-55.130808988764045</v>
      </c>
      <c r="C11" s="7">
        <f>DFC_Final_B!C16</f>
        <v>-40.744095505617977</v>
      </c>
      <c r="D11" s="7">
        <f>DFC_Final_B!D16</f>
        <v>-34.174904494382019</v>
      </c>
      <c r="E11" s="7">
        <f>DFC_Final_B!E16</f>
        <v>-27.788191011235948</v>
      </c>
      <c r="F11" s="7">
        <f>DFC_Final_B!F16</f>
        <v>-53.176382022471898</v>
      </c>
      <c r="G11" s="7">
        <f>DFC_Final_B!G16</f>
        <v>-21.329848314606739</v>
      </c>
      <c r="H11" s="7">
        <f>DFC_Final_B!H16</f>
        <v>-11.572296410023494</v>
      </c>
      <c r="I11" s="7">
        <f>DFC_Final_B!I16</f>
        <v>-4.5250561797752873</v>
      </c>
      <c r="J11" s="7">
        <f>DFC_Final_B!J16</f>
        <v>-35.365509413522965</v>
      </c>
      <c r="K11" s="7">
        <f>DFC_Final_B!K16</f>
        <v>30.520156026474929</v>
      </c>
      <c r="L11" s="7">
        <f>DFC_Final_B!L16</f>
        <v>55.254122742546294</v>
      </c>
      <c r="M11" s="7">
        <f>DFC_Final_B!M16</f>
        <v>73.123918454935648</v>
      </c>
      <c r="N11" s="5">
        <f>-C15</f>
        <v>-337.50709234040039</v>
      </c>
      <c r="O11" s="5">
        <f t="shared" si="0"/>
        <v>-55.130808988764045</v>
      </c>
      <c r="P11" s="5">
        <f t="shared" si="0"/>
        <v>-40.744095505617977</v>
      </c>
      <c r="Q11" s="5">
        <f t="shared" si="0"/>
        <v>-34.174904494382019</v>
      </c>
      <c r="R11" s="5">
        <f t="shared" si="0"/>
        <v>-27.788191011235948</v>
      </c>
      <c r="S11" s="5">
        <f t="shared" si="0"/>
        <v>-53.176382022471898</v>
      </c>
      <c r="T11" s="5">
        <f t="shared" si="0"/>
        <v>-21.329848314606739</v>
      </c>
      <c r="U11" s="5">
        <f t="shared" si="0"/>
        <v>-11.572296410023494</v>
      </c>
      <c r="V11" s="5">
        <f t="shared" si="0"/>
        <v>-4.5250561797752873</v>
      </c>
      <c r="W11" s="5">
        <f t="shared" si="0"/>
        <v>-35.365509413522965</v>
      </c>
      <c r="X11" s="5">
        <f t="shared" si="0"/>
        <v>30.520156026474929</v>
      </c>
      <c r="Y11" s="5">
        <f t="shared" si="0"/>
        <v>55.254122742546294</v>
      </c>
      <c r="Z11" s="5">
        <f t="shared" si="0"/>
        <v>73.123918454935648</v>
      </c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9">
      <c r="A14" s="45" t="s">
        <v>426</v>
      </c>
      <c r="B14" s="45" t="s">
        <v>110</v>
      </c>
      <c r="C14" s="45" t="s">
        <v>111</v>
      </c>
      <c r="D14" s="45" t="s">
        <v>4</v>
      </c>
      <c r="E14" s="45" t="s">
        <v>258</v>
      </c>
      <c r="F14" s="45" t="s">
        <v>85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9">
      <c r="A15" s="5" t="s">
        <v>427</v>
      </c>
      <c r="B15" s="8">
        <f>DFC_Final_A!B19</f>
        <v>47.414382022471891</v>
      </c>
      <c r="C15" s="8">
        <f>DFC_Final_B!B19</f>
        <v>337.50709234040039</v>
      </c>
      <c r="D15" s="5" t="s">
        <v>69</v>
      </c>
      <c r="E15" s="5" t="s">
        <v>428</v>
      </c>
      <c r="F15" s="5" t="s">
        <v>171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9">
      <c r="A16" s="5" t="s">
        <v>429</v>
      </c>
      <c r="B16" s="8">
        <f>-B15+NPV($B$5,B10:M10)</f>
        <v>116.24983642634436</v>
      </c>
      <c r="C16" s="8">
        <f>-C15+NPV($B$5,B11:M11)</f>
        <v>-476.70871973463198</v>
      </c>
      <c r="D16" s="5" t="s">
        <v>69</v>
      </c>
      <c r="E16" s="5" t="s">
        <v>430</v>
      </c>
      <c r="F16" s="5" t="s">
        <v>171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9">
      <c r="A17" s="5" t="s">
        <v>431</v>
      </c>
      <c r="B17" s="32">
        <f>IRR(N10:Z10)</f>
        <v>0.14401655834964422</v>
      </c>
      <c r="C17" s="32">
        <f>IRR(N11:Z11)</f>
        <v>-0.14452080420242042</v>
      </c>
      <c r="D17" s="5" t="s">
        <v>420</v>
      </c>
      <c r="E17" s="5" t="s">
        <v>432</v>
      </c>
      <c r="F17" s="5" t="s">
        <v>171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9">
      <c r="A18" s="5" t="s">
        <v>433</v>
      </c>
      <c r="B18" s="32">
        <f>(1+B17)^4-1</f>
        <v>0.71288908409487739</v>
      </c>
      <c r="C18" s="32">
        <f>(1+C17)^4-1</f>
        <v>-0.46440340176397654</v>
      </c>
      <c r="D18" s="5" t="s">
        <v>417</v>
      </c>
      <c r="E18" s="5" t="s">
        <v>434</v>
      </c>
      <c r="F18" s="5" t="s">
        <v>171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9">
      <c r="A19" s="5" t="s">
        <v>435</v>
      </c>
      <c r="B19" s="5" t="str">
        <f>IFERROR(MATCH(TRUE,B22:M22&gt;=0,0),"&gt;12T")</f>
        <v>&gt;12T</v>
      </c>
      <c r="C19" s="5" t="str">
        <f>IFERROR(MATCH(TRUE,B23:M23&gt;=0,0),"&gt;12T")</f>
        <v>&gt;12T</v>
      </c>
      <c r="D19" s="5" t="s">
        <v>12</v>
      </c>
      <c r="E19" s="5" t="s">
        <v>436</v>
      </c>
      <c r="F19" s="5" t="s">
        <v>171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9">
      <c r="A20" s="5" t="s">
        <v>437</v>
      </c>
      <c r="B20" s="8">
        <f>-MIN(B22:M22)</f>
        <v>78.328764044943767</v>
      </c>
      <c r="C20" s="8">
        <f>-MIN(B23:M23)</f>
        <v>621.31418468080074</v>
      </c>
      <c r="D20" s="5" t="s">
        <v>69</v>
      </c>
      <c r="E20" s="5" t="s">
        <v>438</v>
      </c>
      <c r="F20" s="5" t="s">
        <v>171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 t="s">
        <v>439</v>
      </c>
      <c r="B21" s="8" t="s">
        <v>70</v>
      </c>
      <c r="C21" s="8" t="s">
        <v>71</v>
      </c>
      <c r="D21" s="5" t="s">
        <v>72</v>
      </c>
      <c r="E21" s="5" t="s">
        <v>73</v>
      </c>
      <c r="F21" s="5" t="s">
        <v>74</v>
      </c>
      <c r="G21" s="5" t="s">
        <v>75</v>
      </c>
      <c r="H21" s="5" t="s">
        <v>76</v>
      </c>
      <c r="I21" s="5" t="s">
        <v>77</v>
      </c>
      <c r="J21" s="5" t="s">
        <v>78</v>
      </c>
      <c r="K21" s="5" t="s">
        <v>79</v>
      </c>
      <c r="L21" s="5" t="s">
        <v>80</v>
      </c>
      <c r="M21" s="5" t="s">
        <v>81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 t="s">
        <v>125</v>
      </c>
      <c r="B22" s="8">
        <f>-B15+B10</f>
        <v>-65.345191011235926</v>
      </c>
      <c r="C22" s="8">
        <f t="shared" ref="C22:M22" si="1">B22+C10</f>
        <v>-68.8892865168539</v>
      </c>
      <c r="D22" s="8">
        <f t="shared" si="1"/>
        <v>-65.864191011235917</v>
      </c>
      <c r="E22" s="8">
        <f t="shared" si="1"/>
        <v>-56.452382022471866</v>
      </c>
      <c r="F22" s="8">
        <f t="shared" si="1"/>
        <v>-78.328764044943767</v>
      </c>
      <c r="G22" s="8">
        <f t="shared" si="1"/>
        <v>-68.358612359550506</v>
      </c>
      <c r="H22" s="8">
        <f t="shared" si="1"/>
        <v>-48.630908769574006</v>
      </c>
      <c r="I22" s="8">
        <f t="shared" si="1"/>
        <v>-21.855964949349296</v>
      </c>
      <c r="J22" s="8">
        <f t="shared" si="1"/>
        <v>-33.221474362872272</v>
      </c>
      <c r="K22" s="8">
        <f t="shared" si="1"/>
        <v>21.29868166360265</v>
      </c>
      <c r="L22" s="8">
        <f t="shared" si="1"/>
        <v>100.55280440614894</v>
      </c>
      <c r="M22" s="8">
        <f t="shared" si="1"/>
        <v>197.67672286108461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 t="s">
        <v>126</v>
      </c>
      <c r="B23" s="8">
        <f>-C15+B11</f>
        <v>-392.63790132916444</v>
      </c>
      <c r="C23" s="8">
        <f t="shared" ref="C23:M23" si="2">B23+C11</f>
        <v>-433.3819968347824</v>
      </c>
      <c r="D23" s="8">
        <f t="shared" si="2"/>
        <v>-467.55690132916442</v>
      </c>
      <c r="E23" s="8">
        <f t="shared" si="2"/>
        <v>-495.34509234040036</v>
      </c>
      <c r="F23" s="8">
        <f t="shared" si="2"/>
        <v>-548.52147436287225</v>
      </c>
      <c r="G23" s="8">
        <f t="shared" si="2"/>
        <v>-569.85132267747895</v>
      </c>
      <c r="H23" s="8">
        <f t="shared" si="2"/>
        <v>-581.4236190875024</v>
      </c>
      <c r="I23" s="8">
        <f t="shared" si="2"/>
        <v>-585.94867526727774</v>
      </c>
      <c r="J23" s="8">
        <f t="shared" si="2"/>
        <v>-621.31418468080074</v>
      </c>
      <c r="K23" s="8">
        <f t="shared" si="2"/>
        <v>-590.79402865432576</v>
      </c>
      <c r="L23" s="8">
        <f t="shared" si="2"/>
        <v>-535.53990591177944</v>
      </c>
      <c r="M23" s="8">
        <f t="shared" si="2"/>
        <v>-462.41598745684382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57">
      <c r="A25" s="5" t="s">
        <v>440</v>
      </c>
      <c r="B25" s="5">
        <v>3</v>
      </c>
      <c r="C25" s="5">
        <v>9</v>
      </c>
      <c r="D25" s="5" t="s">
        <v>441</v>
      </c>
      <c r="E25" s="5" t="s">
        <v>442</v>
      </c>
      <c r="F25" s="5" t="s">
        <v>443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67" t="s">
        <v>444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</sheetData>
  <mergeCells count="2">
    <mergeCell ref="A1:M1"/>
    <mergeCell ref="A26:M2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70"/>
  <sheetViews>
    <sheetView workbookViewId="0"/>
  </sheetViews>
  <sheetFormatPr baseColWidth="10" defaultColWidth="8.83203125" defaultRowHeight="15"/>
  <cols>
    <col min="1" max="1" width="30" customWidth="1"/>
    <col min="2" max="2" width="21.83203125" customWidth="1"/>
    <col min="3" max="3" width="52.6640625" customWidth="1"/>
    <col min="4" max="4" width="15.6640625" customWidth="1"/>
    <col min="5" max="5" width="9.6640625" customWidth="1"/>
    <col min="6" max="6" width="13.6640625" customWidth="1"/>
    <col min="7" max="7" width="12" customWidth="1"/>
    <col min="8" max="8" width="12.83203125" customWidth="1"/>
  </cols>
  <sheetData>
    <row r="1" spans="1:26">
      <c r="A1" s="66" t="s">
        <v>445</v>
      </c>
      <c r="B1" s="66"/>
      <c r="C1" s="66"/>
      <c r="D1" s="66"/>
      <c r="E1" s="66"/>
      <c r="F1" s="66"/>
      <c r="G1" s="66"/>
      <c r="H1" s="6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45" t="s">
        <v>446</v>
      </c>
      <c r="B3" s="45" t="s">
        <v>447</v>
      </c>
      <c r="C3" s="45" t="s">
        <v>448</v>
      </c>
      <c r="D3" s="45" t="s">
        <v>7</v>
      </c>
      <c r="E3" s="45" t="s">
        <v>85</v>
      </c>
      <c r="F3" s="45" t="s">
        <v>449</v>
      </c>
      <c r="G3" s="45" t="s">
        <v>450</v>
      </c>
      <c r="H3" s="45" t="s">
        <v>451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9">
      <c r="A4" s="5" t="s">
        <v>452</v>
      </c>
      <c r="B4" s="5" t="s">
        <v>453</v>
      </c>
      <c r="C4" s="5" t="s">
        <v>454</v>
      </c>
      <c r="D4" s="5" t="s">
        <v>455</v>
      </c>
      <c r="E4" s="5" t="s">
        <v>456</v>
      </c>
      <c r="F4" s="5" t="s">
        <v>457</v>
      </c>
      <c r="G4" s="5" t="s">
        <v>458</v>
      </c>
      <c r="H4" s="5" t="s">
        <v>459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9">
      <c r="A5" s="5" t="s">
        <v>460</v>
      </c>
      <c r="B5" s="5" t="s">
        <v>461</v>
      </c>
      <c r="C5" s="5" t="s">
        <v>462</v>
      </c>
      <c r="D5" s="5" t="s">
        <v>422</v>
      </c>
      <c r="E5" s="5" t="s">
        <v>366</v>
      </c>
      <c r="F5" s="5" t="s">
        <v>457</v>
      </c>
      <c r="G5" s="5" t="s">
        <v>361</v>
      </c>
      <c r="H5" s="5" t="s">
        <v>463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9">
      <c r="A6" s="5" t="s">
        <v>460</v>
      </c>
      <c r="B6" s="5" t="s">
        <v>464</v>
      </c>
      <c r="C6" s="5" t="s">
        <v>465</v>
      </c>
      <c r="D6" s="5" t="s">
        <v>422</v>
      </c>
      <c r="E6" s="5" t="s">
        <v>366</v>
      </c>
      <c r="F6" s="5" t="s">
        <v>457</v>
      </c>
      <c r="G6" s="5" t="s">
        <v>461</v>
      </c>
      <c r="H6" s="5" t="s">
        <v>463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9">
      <c r="A7" s="5" t="s">
        <v>466</v>
      </c>
      <c r="B7" s="5" t="s">
        <v>467</v>
      </c>
      <c r="C7" s="5" t="s">
        <v>468</v>
      </c>
      <c r="D7" s="5" t="s">
        <v>422</v>
      </c>
      <c r="E7" s="5" t="s">
        <v>366</v>
      </c>
      <c r="F7" s="5" t="s">
        <v>469</v>
      </c>
      <c r="G7" s="5" t="s">
        <v>463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9">
      <c r="A8" s="5" t="s">
        <v>470</v>
      </c>
      <c r="B8" s="5" t="s">
        <v>471</v>
      </c>
      <c r="C8" s="5" t="s">
        <v>472</v>
      </c>
      <c r="D8" s="5" t="s">
        <v>422</v>
      </c>
      <c r="E8" s="5" t="s">
        <v>366</v>
      </c>
      <c r="F8" s="5" t="s">
        <v>473</v>
      </c>
      <c r="G8" s="5" t="s">
        <v>463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9">
      <c r="A9" s="5" t="s">
        <v>474</v>
      </c>
      <c r="B9" s="5" t="s">
        <v>475</v>
      </c>
      <c r="C9" s="5" t="s">
        <v>476</v>
      </c>
      <c r="D9" s="5" t="s">
        <v>477</v>
      </c>
      <c r="E9" s="5" t="s">
        <v>366</v>
      </c>
      <c r="F9" s="5" t="s">
        <v>478</v>
      </c>
      <c r="G9" s="5" t="s">
        <v>463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67" t="s">
        <v>479</v>
      </c>
      <c r="B11" s="67"/>
      <c r="C11" s="67"/>
      <c r="D11" s="67"/>
      <c r="E11" s="67"/>
      <c r="F11" s="67"/>
      <c r="G11" s="67"/>
      <c r="H11" s="67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67"/>
      <c r="B12" s="67"/>
      <c r="C12" s="67"/>
      <c r="D12" s="67"/>
      <c r="E12" s="67"/>
      <c r="F12" s="67"/>
      <c r="G12" s="67"/>
      <c r="H12" s="67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67"/>
      <c r="B13" s="67"/>
      <c r="C13" s="67"/>
      <c r="D13" s="67"/>
      <c r="E13" s="67"/>
      <c r="F13" s="67"/>
      <c r="G13" s="67"/>
      <c r="H13" s="6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67"/>
      <c r="B14" s="67"/>
      <c r="C14" s="67"/>
      <c r="D14" s="67"/>
      <c r="E14" s="67"/>
      <c r="F14" s="67"/>
      <c r="G14" s="67"/>
      <c r="H14" s="67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</sheetData>
  <mergeCells count="2">
    <mergeCell ref="A1:H1"/>
    <mergeCell ref="A11:H1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80"/>
  <sheetViews>
    <sheetView workbookViewId="0"/>
  </sheetViews>
  <sheetFormatPr baseColWidth="10" defaultColWidth="8.83203125" defaultRowHeight="15"/>
  <cols>
    <col min="1" max="1" width="32" customWidth="1"/>
    <col min="2" max="2" width="35.1640625" customWidth="1"/>
    <col min="3" max="3" width="18.83203125" customWidth="1"/>
    <col min="4" max="4" width="32.83203125" customWidth="1"/>
    <col min="5" max="5" width="11.6640625" customWidth="1"/>
    <col min="6" max="6" width="13.6640625" customWidth="1"/>
    <col min="7" max="7" width="42" customWidth="1"/>
  </cols>
  <sheetData>
    <row r="1" spans="1:17">
      <c r="A1" s="68" t="s">
        <v>480</v>
      </c>
      <c r="B1" s="68"/>
      <c r="C1" s="68"/>
      <c r="D1" s="68"/>
      <c r="E1" s="68"/>
      <c r="F1" s="68"/>
      <c r="G1" s="68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29">
      <c r="A3" s="47" t="s">
        <v>481</v>
      </c>
      <c r="B3" s="47" t="s">
        <v>482</v>
      </c>
      <c r="C3" s="47" t="s">
        <v>303</v>
      </c>
      <c r="D3" s="47" t="s">
        <v>483</v>
      </c>
      <c r="E3" s="47" t="s">
        <v>147</v>
      </c>
      <c r="F3" s="47" t="s">
        <v>307</v>
      </c>
      <c r="G3" s="47" t="s">
        <v>484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9">
      <c r="A4" s="5" t="s">
        <v>361</v>
      </c>
      <c r="B4" s="5" t="s">
        <v>485</v>
      </c>
      <c r="C4" s="5" t="s">
        <v>486</v>
      </c>
      <c r="D4" s="5" t="s">
        <v>487</v>
      </c>
      <c r="E4" s="5" t="s">
        <v>488</v>
      </c>
      <c r="F4" s="5" t="s">
        <v>314</v>
      </c>
      <c r="G4" s="5" t="s">
        <v>489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ht="43">
      <c r="A5" s="5" t="s">
        <v>490</v>
      </c>
      <c r="B5" s="5" t="s">
        <v>491</v>
      </c>
      <c r="C5" s="5" t="s">
        <v>492</v>
      </c>
      <c r="D5" s="5" t="s">
        <v>493</v>
      </c>
      <c r="E5" s="5" t="s">
        <v>96</v>
      </c>
      <c r="F5" s="5" t="s">
        <v>314</v>
      </c>
      <c r="G5" s="5" t="s">
        <v>494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>
      <c r="A6" s="5" t="s">
        <v>495</v>
      </c>
      <c r="B6" s="5" t="s">
        <v>496</v>
      </c>
      <c r="C6" s="5" t="s">
        <v>310</v>
      </c>
      <c r="D6" s="5" t="s">
        <v>497</v>
      </c>
      <c r="E6" s="5" t="s">
        <v>498</v>
      </c>
      <c r="F6" s="5" t="s">
        <v>314</v>
      </c>
      <c r="G6" s="5" t="s">
        <v>499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29">
      <c r="A7" s="5" t="s">
        <v>500</v>
      </c>
      <c r="B7" s="5" t="s">
        <v>501</v>
      </c>
      <c r="C7" s="5" t="s">
        <v>502</v>
      </c>
      <c r="D7" s="5" t="s">
        <v>503</v>
      </c>
      <c r="E7" s="5" t="s">
        <v>504</v>
      </c>
      <c r="F7" s="5" t="s">
        <v>314</v>
      </c>
      <c r="G7" s="5" t="s">
        <v>505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>
      <c r="A8" s="5" t="s">
        <v>506</v>
      </c>
      <c r="B8" s="5" t="s">
        <v>507</v>
      </c>
      <c r="C8" s="5" t="s">
        <v>502</v>
      </c>
      <c r="D8" s="5" t="s">
        <v>508</v>
      </c>
      <c r="E8" s="5" t="s">
        <v>504</v>
      </c>
      <c r="F8" s="5" t="s">
        <v>314</v>
      </c>
      <c r="G8" s="5" t="s">
        <v>509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29">
      <c r="A9" s="5" t="s">
        <v>510</v>
      </c>
      <c r="B9" s="5" t="s">
        <v>511</v>
      </c>
      <c r="C9" s="5" t="s">
        <v>502</v>
      </c>
      <c r="D9" s="5" t="s">
        <v>512</v>
      </c>
      <c r="E9" s="5" t="s">
        <v>513</v>
      </c>
      <c r="F9" s="5" t="s">
        <v>514</v>
      </c>
      <c r="G9" s="5" t="s">
        <v>515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29">
      <c r="A10" s="5" t="s">
        <v>516</v>
      </c>
      <c r="B10" s="5" t="s">
        <v>517</v>
      </c>
      <c r="C10" s="5" t="s">
        <v>502</v>
      </c>
      <c r="D10" s="5" t="s">
        <v>518</v>
      </c>
      <c r="E10" s="5" t="s">
        <v>519</v>
      </c>
      <c r="F10" s="5" t="s">
        <v>314</v>
      </c>
      <c r="G10" s="5" t="s">
        <v>520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>
      <c r="A11" s="5" t="s">
        <v>521</v>
      </c>
      <c r="B11" s="5" t="s">
        <v>522</v>
      </c>
      <c r="C11" s="5" t="s">
        <v>502</v>
      </c>
      <c r="D11" s="5" t="s">
        <v>523</v>
      </c>
      <c r="E11" s="5" t="s">
        <v>524</v>
      </c>
      <c r="F11" s="5" t="s">
        <v>514</v>
      </c>
      <c r="G11" s="5" t="s">
        <v>525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>
      <c r="A12" s="5" t="s">
        <v>526</v>
      </c>
      <c r="B12" s="5" t="s">
        <v>527</v>
      </c>
      <c r="C12" s="5" t="s">
        <v>502</v>
      </c>
      <c r="D12" s="5" t="s">
        <v>528</v>
      </c>
      <c r="E12" s="5" t="s">
        <v>498</v>
      </c>
      <c r="F12" s="5" t="s">
        <v>514</v>
      </c>
      <c r="G12" s="5" t="s">
        <v>529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>
      <c r="A13" s="5" t="s">
        <v>530</v>
      </c>
      <c r="B13" s="5" t="s">
        <v>531</v>
      </c>
      <c r="C13" s="5" t="s">
        <v>502</v>
      </c>
      <c r="D13" s="5" t="s">
        <v>532</v>
      </c>
      <c r="E13" s="5" t="s">
        <v>498</v>
      </c>
      <c r="F13" s="5" t="s">
        <v>314</v>
      </c>
      <c r="G13" s="5" t="s">
        <v>533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ht="29">
      <c r="A14" s="5" t="s">
        <v>534</v>
      </c>
      <c r="B14" s="5" t="s">
        <v>535</v>
      </c>
      <c r="C14" s="5" t="s">
        <v>502</v>
      </c>
      <c r="D14" s="5" t="s">
        <v>536</v>
      </c>
      <c r="E14" s="5" t="s">
        <v>537</v>
      </c>
      <c r="F14" s="5" t="s">
        <v>314</v>
      </c>
      <c r="G14" s="5" t="s">
        <v>2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ht="29">
      <c r="A15" s="5" t="s">
        <v>538</v>
      </c>
      <c r="B15" s="5" t="s">
        <v>539</v>
      </c>
      <c r="C15" s="5" t="s">
        <v>502</v>
      </c>
      <c r="D15" s="5" t="s">
        <v>540</v>
      </c>
      <c r="E15" s="5" t="s">
        <v>541</v>
      </c>
      <c r="F15" s="5" t="s">
        <v>514</v>
      </c>
      <c r="G15" s="5" t="s">
        <v>542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>
      <c r="A16" s="5" t="s">
        <v>543</v>
      </c>
      <c r="B16" s="5" t="s">
        <v>99</v>
      </c>
      <c r="C16" s="5" t="s">
        <v>502</v>
      </c>
      <c r="D16" s="5" t="s">
        <v>544</v>
      </c>
      <c r="E16" s="5" t="s">
        <v>99</v>
      </c>
      <c r="F16" s="5" t="s">
        <v>314</v>
      </c>
      <c r="G16" s="5" t="s">
        <v>529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>
      <c r="A17" s="5" t="s">
        <v>545</v>
      </c>
      <c r="B17" s="5" t="s">
        <v>546</v>
      </c>
      <c r="C17" s="5" t="s">
        <v>318</v>
      </c>
      <c r="D17" s="5" t="s">
        <v>547</v>
      </c>
      <c r="E17" s="5" t="s">
        <v>545</v>
      </c>
      <c r="F17" s="5" t="s">
        <v>314</v>
      </c>
      <c r="G17" s="5" t="s">
        <v>548</v>
      </c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>
      <c r="A18" s="5" t="s">
        <v>549</v>
      </c>
      <c r="B18" s="5" t="s">
        <v>550</v>
      </c>
      <c r="C18" s="5" t="s">
        <v>551</v>
      </c>
      <c r="D18" s="5" t="s">
        <v>552</v>
      </c>
      <c r="E18" s="5" t="s">
        <v>553</v>
      </c>
      <c r="F18" s="5" t="s">
        <v>314</v>
      </c>
      <c r="G18" s="5" t="s">
        <v>554</v>
      </c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>
      <c r="A20" s="69" t="s">
        <v>555</v>
      </c>
      <c r="B20" s="69"/>
      <c r="C20" s="69"/>
      <c r="D20" s="69"/>
      <c r="E20" s="69"/>
      <c r="F20" s="69"/>
      <c r="G20" s="69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>
      <c r="A21" s="69"/>
      <c r="B21" s="69"/>
      <c r="C21" s="69"/>
      <c r="D21" s="69"/>
      <c r="E21" s="69"/>
      <c r="F21" s="69"/>
      <c r="G21" s="69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>
      <c r="A22" s="69"/>
      <c r="B22" s="69"/>
      <c r="C22" s="69"/>
      <c r="D22" s="69"/>
      <c r="E22" s="69"/>
      <c r="F22" s="69"/>
      <c r="G22" s="69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>
      <c r="A23" s="69"/>
      <c r="B23" s="69"/>
      <c r="C23" s="69"/>
      <c r="D23" s="69"/>
      <c r="E23" s="69"/>
      <c r="F23" s="69"/>
      <c r="G23" s="69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</sheetData>
  <mergeCells count="2">
    <mergeCell ref="A1:G1"/>
    <mergeCell ref="A20:G2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80"/>
  <sheetViews>
    <sheetView workbookViewId="0"/>
  </sheetViews>
  <sheetFormatPr baseColWidth="10" defaultColWidth="8.83203125" defaultRowHeight="15"/>
  <cols>
    <col min="1" max="1" width="32" customWidth="1"/>
    <col min="2" max="4" width="9.1640625" customWidth="1"/>
    <col min="5" max="5" width="8.6640625" customWidth="1"/>
    <col min="6" max="6" width="9.1640625" customWidth="1"/>
    <col min="7" max="7" width="9.33203125" customWidth="1"/>
    <col min="8" max="8" width="6.1640625" customWidth="1"/>
    <col min="9" max="10" width="16.6640625" customWidth="1"/>
    <col min="11" max="13" width="5.83203125" customWidth="1"/>
  </cols>
  <sheetData>
    <row r="1" spans="1:17">
      <c r="A1" s="68" t="s">
        <v>556</v>
      </c>
      <c r="B1" s="68"/>
      <c r="C1" s="68"/>
      <c r="D1" s="68"/>
      <c r="E1" s="68"/>
      <c r="F1" s="68"/>
      <c r="G1" s="68"/>
      <c r="H1" s="68"/>
      <c r="I1" s="68"/>
      <c r="J1" s="68"/>
      <c r="K1" s="5"/>
      <c r="L1" s="5"/>
      <c r="M1" s="5"/>
      <c r="N1" s="5"/>
      <c r="O1" s="5"/>
      <c r="P1" s="5"/>
      <c r="Q1" s="5"/>
    </row>
    <row r="2" spans="1:17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29">
      <c r="A3" s="47" t="s">
        <v>259</v>
      </c>
      <c r="B3" s="47" t="s">
        <v>163</v>
      </c>
      <c r="C3" s="47" t="s">
        <v>167</v>
      </c>
      <c r="D3" s="47" t="s">
        <v>173</v>
      </c>
      <c r="E3" s="47" t="s">
        <v>264</v>
      </c>
      <c r="F3" s="47" t="s">
        <v>557</v>
      </c>
      <c r="G3" s="47" t="s">
        <v>558</v>
      </c>
      <c r="H3" s="47" t="s">
        <v>559</v>
      </c>
      <c r="I3" s="47" t="s">
        <v>260</v>
      </c>
      <c r="J3" s="47" t="s">
        <v>262</v>
      </c>
      <c r="K3" s="5"/>
      <c r="L3" s="5"/>
      <c r="M3" s="5"/>
      <c r="N3" s="5"/>
      <c r="O3" s="5"/>
      <c r="P3" s="5"/>
      <c r="Q3" s="5"/>
    </row>
    <row r="4" spans="1:17">
      <c r="A4" s="5" t="s">
        <v>134</v>
      </c>
      <c r="B4" s="48">
        <v>38000</v>
      </c>
      <c r="C4" s="48">
        <v>140000</v>
      </c>
      <c r="D4" s="48">
        <v>372000</v>
      </c>
      <c r="E4" s="48">
        <v>550000</v>
      </c>
      <c r="F4" s="48">
        <v>2763</v>
      </c>
      <c r="G4" s="36">
        <v>1.1000000000000001</v>
      </c>
      <c r="H4" s="3">
        <v>0.02</v>
      </c>
      <c r="I4" s="37">
        <f>-MIN(0,MIN(B12:M12))+16500/1000*$G$4</f>
        <v>328.46668288972256</v>
      </c>
      <c r="J4" s="37">
        <f>-MIN(0,MIN(B14:M14))+53700/1000*$G$4</f>
        <v>776.38668288972269</v>
      </c>
      <c r="K4" s="5"/>
      <c r="L4" s="5"/>
      <c r="M4" s="5"/>
      <c r="N4" s="5"/>
      <c r="O4" s="5"/>
      <c r="P4" s="5"/>
      <c r="Q4" s="5"/>
    </row>
    <row r="5" spans="1:17">
      <c r="A5" s="5" t="s">
        <v>135</v>
      </c>
      <c r="B5" s="48">
        <v>71000</v>
      </c>
      <c r="C5" s="48">
        <v>284000</v>
      </c>
      <c r="D5" s="48">
        <v>744000</v>
      </c>
      <c r="E5" s="48">
        <v>1099000</v>
      </c>
      <c r="F5" s="48">
        <v>5508</v>
      </c>
      <c r="G5" s="36">
        <v>1</v>
      </c>
      <c r="H5" s="3">
        <v>0.01</v>
      </c>
      <c r="I5" s="37">
        <f>E6_DFC_A_Final!B15</f>
        <v>47.414382022471891</v>
      </c>
      <c r="J5" s="37">
        <f>E6_DFC_B_Final!B15</f>
        <v>337.50709234040039</v>
      </c>
      <c r="K5" s="5"/>
      <c r="L5" s="5"/>
      <c r="M5" s="5"/>
      <c r="N5" s="5"/>
      <c r="O5" s="5"/>
      <c r="P5" s="5"/>
      <c r="Q5" s="5"/>
    </row>
    <row r="6" spans="1:17">
      <c r="A6" s="5" t="s">
        <v>136</v>
      </c>
      <c r="B6" s="48">
        <v>113000</v>
      </c>
      <c r="C6" s="48">
        <v>455000</v>
      </c>
      <c r="D6" s="48">
        <v>1270000</v>
      </c>
      <c r="E6" s="48">
        <v>1838000</v>
      </c>
      <c r="F6" s="48">
        <v>9180</v>
      </c>
      <c r="G6" s="36">
        <v>0.95</v>
      </c>
      <c r="H6" s="3">
        <v>5.0000000000000001E-3</v>
      </c>
      <c r="I6" s="37">
        <f>-MIN(0,MIN(B24:M24))+16500/1000*$G$6</f>
        <v>28.954338999999997</v>
      </c>
      <c r="J6" s="37">
        <f>-MIN(0,MIN(B26:M26))+53700/1000*$G$6</f>
        <v>177.13666241671075</v>
      </c>
      <c r="K6" s="5"/>
      <c r="L6" s="5"/>
      <c r="M6" s="5"/>
      <c r="N6" s="5"/>
      <c r="O6" s="5"/>
      <c r="P6" s="5"/>
      <c r="Q6" s="5"/>
    </row>
    <row r="7" spans="1:1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>
      <c r="A10" s="49" t="s">
        <v>134</v>
      </c>
      <c r="B10" s="49" t="s">
        <v>70</v>
      </c>
      <c r="C10" s="49" t="s">
        <v>71</v>
      </c>
      <c r="D10" s="49" t="s">
        <v>72</v>
      </c>
      <c r="E10" s="49" t="s">
        <v>73</v>
      </c>
      <c r="F10" s="49" t="s">
        <v>74</v>
      </c>
      <c r="G10" s="49" t="s">
        <v>75</v>
      </c>
      <c r="H10" s="49" t="s">
        <v>76</v>
      </c>
      <c r="I10" s="49" t="s">
        <v>77</v>
      </c>
      <c r="J10" s="49" t="s">
        <v>78</v>
      </c>
      <c r="K10" s="49" t="s">
        <v>79</v>
      </c>
      <c r="L10" s="49" t="s">
        <v>80</v>
      </c>
      <c r="M10" s="49" t="s">
        <v>81</v>
      </c>
      <c r="N10" s="5"/>
      <c r="O10" s="5"/>
      <c r="P10" s="5"/>
      <c r="Q10" s="5"/>
    </row>
    <row r="11" spans="1:17">
      <c r="A11" s="5" t="s">
        <v>265</v>
      </c>
      <c r="B11" s="8">
        <f>($B$4*0.1-($B$4*0.1*0.501*3%)-($B$4*0.1*0.06)-($B$4*0.1*$H$4)-66000/4*$G$4-8000)/1000</f>
        <v>-22.711114000000002</v>
      </c>
      <c r="C11" s="8">
        <f>($B$4*0.2-($B$4*0.2*0.501*3%)-($B$4*0.2*0.06)-($B$4*0.2*$H$4)-66000/4*$G$4-0)/1000</f>
        <v>-11.272227999999998</v>
      </c>
      <c r="D11" s="8">
        <f>($B$4*0.3-($B$4*0.3*0.501*3%)-($B$4*0.3*0.06)-($B$4*0.3*$H$4)-66000/4*$G$4-0)/1000</f>
        <v>-7.8333420000000009</v>
      </c>
      <c r="E11" s="8">
        <f>($B$4*0.4-($B$4*0.4*0.501*3%)-($B$4*0.4*0.06)-($B$4*0.4*$H$4)-66000/4*$G$4-0)/1000</f>
        <v>-4.3944559999999999</v>
      </c>
      <c r="F11" s="8">
        <f>($C$4*0.2-($C$4*0.2*0.501*3%)-($C$4*0.2*0.0686323342495684)-($C$4*0.2*$H$4)-198800/4*$G$4-24000)/1000</f>
        <v>-53.572545358987917</v>
      </c>
      <c r="G11" s="8">
        <f>($C$4*0.23-($C$4*0.23*0.501*3%)-($C$4*0.23*0.0686323342495684)-($C$4*0.23*$H$4)-198800/4*$G$4-0)/1000</f>
        <v>-25.807927162836108</v>
      </c>
      <c r="H11" s="8">
        <f>($C$4*0.27-($C$4*0.27*0.501*3%)-($C$4*0.27*0.0686323342495684)-($C$4*0.27*$H$4)-198800/4*$G$4-0)/1000</f>
        <v>-20.788436234633693</v>
      </c>
      <c r="I11" s="8">
        <f>($C$4*0.3-($C$4*0.3*0.501*3%)-($C$4*0.3*0.0686323342495684)-($C$4*0.3*$H$4)-198800/4*$G$4-0)/1000</f>
        <v>-17.023818038481885</v>
      </c>
      <c r="J11" s="8">
        <f>($D$4*0.2-($D$4*0.2*0.501*3%)-($D$4*0.2*0.102477570147266)-($D$4*0.2*$H$4)-381600/4*$G$4-48000)/1000</f>
        <v>-88.77056321895661</v>
      </c>
      <c r="K11" s="8">
        <f>($D$4*0.23-($D$4*0.23*0.501*3%)-($D$4*0.23*0.102477570147266)-($D$4*0.23*$H$4)-381600/4*$G$4-0)/1000</f>
        <v>-31.145147701800088</v>
      </c>
      <c r="L11" s="8">
        <f>($D$4*0.27-($D$4*0.27*0.501*3%)-($D$4*0.27*0.102477570147266)-($D$4*0.27*$H$4)-381600/4*$G$4-0)/1000</f>
        <v>-18.311260345591421</v>
      </c>
      <c r="M11" s="8">
        <f>($D$4*0.3-($D$4*0.3*0.501*3%)-($D$4*0.3*0.102477570147266)-($D$4*0.3*$H$4)-381600/4*$G$4-0)/1000</f>
        <v>-8.6858448284348988</v>
      </c>
      <c r="N11" s="5"/>
      <c r="O11" s="5"/>
      <c r="P11" s="5"/>
      <c r="Q11" s="5"/>
    </row>
    <row r="12" spans="1:17">
      <c r="A12" s="5" t="s">
        <v>560</v>
      </c>
      <c r="B12" s="8">
        <f>B11</f>
        <v>-22.711114000000002</v>
      </c>
      <c r="C12" s="8">
        <f t="shared" ref="C12:M12" si="0">B12+C11</f>
        <v>-33.983342</v>
      </c>
      <c r="D12" s="8">
        <f t="shared" si="0"/>
        <v>-41.816684000000002</v>
      </c>
      <c r="E12" s="8">
        <f t="shared" si="0"/>
        <v>-46.21114</v>
      </c>
      <c r="F12" s="8">
        <f t="shared" si="0"/>
        <v>-99.783685358987924</v>
      </c>
      <c r="G12" s="8">
        <f t="shared" si="0"/>
        <v>-125.59161252182403</v>
      </c>
      <c r="H12" s="8">
        <f t="shared" si="0"/>
        <v>-146.38004875645771</v>
      </c>
      <c r="I12" s="8">
        <f t="shared" si="0"/>
        <v>-163.4038667949396</v>
      </c>
      <c r="J12" s="8">
        <f t="shared" si="0"/>
        <v>-252.1744300138962</v>
      </c>
      <c r="K12" s="8">
        <f t="shared" si="0"/>
        <v>-283.31957771569631</v>
      </c>
      <c r="L12" s="8">
        <f t="shared" si="0"/>
        <v>-301.6308380612877</v>
      </c>
      <c r="M12" s="8">
        <f t="shared" si="0"/>
        <v>-310.31668288972259</v>
      </c>
      <c r="N12" s="5"/>
      <c r="O12" s="5"/>
      <c r="P12" s="5"/>
      <c r="Q12" s="5"/>
    </row>
    <row r="13" spans="1:17">
      <c r="A13" s="5" t="s">
        <v>266</v>
      </c>
      <c r="B13" s="8">
        <f>($B$4*0.1-($B$4*0.1*0.501*3%)-($B$4*0.1*0.06)-($B$4*0.1*$H$4)-214800/4*$G$4-8000)/1000</f>
        <v>-63.631114000000011</v>
      </c>
      <c r="C13" s="8">
        <f>($B$4*0.2-($B$4*0.2*0.501*3%)-($B$4*0.2*0.06)-($B$4*0.2*$H$4)-214800/4*$G$4-0)/1000</f>
        <v>-52.192228000000007</v>
      </c>
      <c r="D13" s="8">
        <f>($B$4*0.3-($B$4*0.3*0.501*3%)-($B$4*0.3*0.06)-($B$4*0.3*$H$4)-214800/4*$G$4-0)/1000</f>
        <v>-48.753342000000004</v>
      </c>
      <c r="E13" s="8">
        <f>($B$4*0.4-($B$4*0.4*0.501*3%)-($B$4*0.4*0.06)-($B$4*0.4*$H$4)-214800/4*$G$4-0)/1000</f>
        <v>-45.314456000000007</v>
      </c>
      <c r="F13" s="8">
        <f>($C$4*0.2-($C$4*0.2*0.501*3%)-($C$4*0.2*0.0686323342495684)-($C$4*0.2*$H$4)-324000/4*$G$4-24000)/1000</f>
        <v>-88.002545358987916</v>
      </c>
      <c r="G13" s="8">
        <f>($C$4*0.23-($C$4*0.23*0.501*3%)-($C$4*0.23*0.0686323342495684)-($C$4*0.23*$H$4)-324000/4*$G$4-0)/1000</f>
        <v>-60.237927162836101</v>
      </c>
      <c r="H13" s="8">
        <f>($C$4*0.27-($C$4*0.27*0.501*3%)-($C$4*0.27*0.0686323342495684)-($C$4*0.27*$H$4)-324000/4*$G$4-0)/1000</f>
        <v>-55.218436234633685</v>
      </c>
      <c r="I13" s="8">
        <f>($C$4*0.3-($C$4*0.3*0.501*3%)-($C$4*0.3*0.0686323342495684)-($C$4*0.3*$H$4)-324000/4*$G$4-0)/1000</f>
        <v>-51.453818038481877</v>
      </c>
      <c r="J13" s="8">
        <f>($D$4*0.2-($D$4*0.2*0.501*3%)-($D$4*0.2*0.102477570147266)-($D$4*0.2*$H$4)-477600/4*$G$4-48000)/1000</f>
        <v>-115.1705632189566</v>
      </c>
      <c r="K13" s="8">
        <f>($D$4*0.23-($D$4*0.23*0.501*3%)-($D$4*0.23*0.102477570147266)-($D$4*0.23*$H$4)-477600/4*$G$4-0)/1000</f>
        <v>-57.545147701800076</v>
      </c>
      <c r="L13" s="8">
        <f>($D$4*0.27-($D$4*0.27*0.501*3%)-($D$4*0.27*0.102477570147266)-($D$4*0.27*$H$4)-477600/4*$G$4-0)/1000</f>
        <v>-44.711260345591405</v>
      </c>
      <c r="M13" s="8">
        <f>($D$4*0.3-($D$4*0.3*0.501*3%)-($D$4*0.3*0.102477570147266)-($D$4*0.3*$H$4)-477600/4*$G$4-0)/1000</f>
        <v>-35.085844828434887</v>
      </c>
      <c r="N13" s="5"/>
      <c r="O13" s="5"/>
      <c r="P13" s="5"/>
      <c r="Q13" s="5"/>
    </row>
    <row r="14" spans="1:17">
      <c r="A14" s="5" t="s">
        <v>561</v>
      </c>
      <c r="B14" s="8">
        <f>B13</f>
        <v>-63.631114000000011</v>
      </c>
      <c r="C14" s="8">
        <f t="shared" ref="C14:M14" si="1">B14+C13</f>
        <v>-115.82334200000003</v>
      </c>
      <c r="D14" s="8">
        <f t="shared" si="1"/>
        <v>-164.57668400000003</v>
      </c>
      <c r="E14" s="8">
        <f t="shared" si="1"/>
        <v>-209.89114000000004</v>
      </c>
      <c r="F14" s="8">
        <f t="shared" si="1"/>
        <v>-297.89368535898797</v>
      </c>
      <c r="G14" s="8">
        <f t="shared" si="1"/>
        <v>-358.13161252182408</v>
      </c>
      <c r="H14" s="8">
        <f t="shared" si="1"/>
        <v>-413.3500487564578</v>
      </c>
      <c r="I14" s="8">
        <f t="shared" si="1"/>
        <v>-464.80386679493967</v>
      </c>
      <c r="J14" s="8">
        <f t="shared" si="1"/>
        <v>-579.97443001389627</v>
      </c>
      <c r="K14" s="8">
        <f t="shared" si="1"/>
        <v>-637.5195777156963</v>
      </c>
      <c r="L14" s="8">
        <f t="shared" si="1"/>
        <v>-682.23083806128773</v>
      </c>
      <c r="M14" s="8">
        <f t="shared" si="1"/>
        <v>-717.31668288972264</v>
      </c>
      <c r="N14" s="5"/>
      <c r="O14" s="5"/>
      <c r="P14" s="5"/>
      <c r="Q14" s="5"/>
    </row>
    <row r="15" spans="1:17">
      <c r="A15" s="5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5"/>
      <c r="O15" s="5"/>
      <c r="P15" s="5"/>
      <c r="Q15" s="5"/>
    </row>
    <row r="16" spans="1:17">
      <c r="A16" s="49" t="s">
        <v>135</v>
      </c>
      <c r="B16" s="50" t="s">
        <v>70</v>
      </c>
      <c r="C16" s="50" t="s">
        <v>71</v>
      </c>
      <c r="D16" s="50" t="s">
        <v>72</v>
      </c>
      <c r="E16" s="50" t="s">
        <v>73</v>
      </c>
      <c r="F16" s="50" t="s">
        <v>74</v>
      </c>
      <c r="G16" s="50" t="s">
        <v>75</v>
      </c>
      <c r="H16" s="50" t="s">
        <v>76</v>
      </c>
      <c r="I16" s="50" t="s">
        <v>77</v>
      </c>
      <c r="J16" s="50" t="s">
        <v>78</v>
      </c>
      <c r="K16" s="50" t="s">
        <v>79</v>
      </c>
      <c r="L16" s="50" t="s">
        <v>80</v>
      </c>
      <c r="M16" s="50" t="s">
        <v>81</v>
      </c>
      <c r="N16" s="5"/>
      <c r="O16" s="5"/>
      <c r="P16" s="5"/>
      <c r="Q16" s="5"/>
    </row>
    <row r="17" spans="1:17">
      <c r="A17" s="5" t="s">
        <v>265</v>
      </c>
      <c r="B17" s="8">
        <f>($B$5*0.1-($B$5*0.1*0.501*3%)-($B$5*0.1*0.06)-($B$5*0.1*$H$5)-66000/4*$G$5-8000)/1000</f>
        <v>-18.003713000000001</v>
      </c>
      <c r="C17" s="8">
        <f>($B$5*0.2-($B$5*0.2*0.501*3%)-($B$5*0.2*0.06)-($B$5*0.2*$H$5)-66000/4*$G$5-0)/1000</f>
        <v>-3.5074259999999993</v>
      </c>
      <c r="D17" s="8">
        <f>($B$5*0.3-($B$5*0.3*0.501*3%)-($B$5*0.3*0.06)-($B$5*0.3*$H$5)-66000/4*$G$5-0)/1000</f>
        <v>2.9888610000000009</v>
      </c>
      <c r="E17" s="8">
        <f>($B$5*0.4-($B$5*0.4*0.501*3%)-($B$5*0.4*0.06)-($B$5*0.4*$H$5)-66000/4*$G$5-0)/1000</f>
        <v>9.4851480000000006</v>
      </c>
      <c r="F17" s="8">
        <f>($C$5*0.2-($C$5*0.2*0.501*3%)-($C$5*0.2*0.0686323342495684)-($C$5*0.2*$H$5)-198800/4*$G$5-24000)/1000</f>
        <v>-22.220020585375483</v>
      </c>
      <c r="G17" s="8">
        <f>($C$5*0.23-($C$5*0.23*0.501*3%)-($C$5*0.23*0.0686323342495684)-($C$5*0.23*$H$5)-198800/4*$G$5-0)/1000</f>
        <v>9.5019763268182</v>
      </c>
      <c r="H17" s="8">
        <f>($C$5*0.27-($C$5*0.27*0.501*3%)-($C$5*0.27*0.0686323342495684)-($C$5*0.27*$H$5)-198800/4*$G$5-0)/1000</f>
        <v>19.797972209743094</v>
      </c>
      <c r="I17" s="8">
        <f>($C$5*0.3-($C$5*0.3*0.501*3%)-($C$5*0.3*0.0686323342495684)-($C$5*0.3*$H$5)-198800/4*$G$5-0)/1000</f>
        <v>27.519969121936782</v>
      </c>
      <c r="J17" s="8">
        <f>($D$5*0.2-($D$5*0.2*0.501*3%)-($D$5*0.2*0.102477570147266)-($D$5*0.2*$H$5)-381600/4*$G$5-48000)/1000</f>
        <v>-13.57312643791319</v>
      </c>
      <c r="K17" s="8">
        <f>($D$5*0.23-($D$5*0.23*0.501*3%)-($D$5*0.23*0.102477570147266)-($D$5*0.23*$H$5)-381600/4*$G$5-0)/1000</f>
        <v>53.900904596399833</v>
      </c>
      <c r="L17" s="8">
        <f>($D$5*0.27-($D$5*0.27*0.501*3%)-($D$5*0.27*0.102477570147266)-($D$5*0.27*$H$5)-381600/4*$G$5-0)/1000</f>
        <v>79.866279308817198</v>
      </c>
      <c r="M17" s="8">
        <f>($D$5*0.3-($D$5*0.3*0.501*3%)-($D$5*0.3*0.102477570147266)-($D$5*0.3*$H$5)-381600/4*$G$5-0)/1000</f>
        <v>99.340310343130227</v>
      </c>
      <c r="N17" s="5"/>
      <c r="O17" s="5"/>
      <c r="P17" s="5"/>
      <c r="Q17" s="5"/>
    </row>
    <row r="18" spans="1:17">
      <c r="A18" s="5" t="s">
        <v>560</v>
      </c>
      <c r="B18" s="8">
        <f>B17</f>
        <v>-18.003713000000001</v>
      </c>
      <c r="C18" s="8">
        <f t="shared" ref="C18:M18" si="2">B18+C17</f>
        <v>-21.511139</v>
      </c>
      <c r="D18" s="8">
        <f t="shared" si="2"/>
        <v>-18.522278</v>
      </c>
      <c r="E18" s="8">
        <f t="shared" si="2"/>
        <v>-9.0371299999999994</v>
      </c>
      <c r="F18" s="8">
        <f t="shared" si="2"/>
        <v>-31.257150585375484</v>
      </c>
      <c r="G18" s="8">
        <f t="shared" si="2"/>
        <v>-21.755174258557282</v>
      </c>
      <c r="H18" s="8">
        <f t="shared" si="2"/>
        <v>-1.9572020488141888</v>
      </c>
      <c r="I18" s="8">
        <f t="shared" si="2"/>
        <v>25.562767073122593</v>
      </c>
      <c r="J18" s="8">
        <f t="shared" si="2"/>
        <v>11.989640635209403</v>
      </c>
      <c r="K18" s="8">
        <f t="shared" si="2"/>
        <v>65.890545231609238</v>
      </c>
      <c r="L18" s="8">
        <f t="shared" si="2"/>
        <v>145.75682454042644</v>
      </c>
      <c r="M18" s="8">
        <f t="shared" si="2"/>
        <v>245.09713488355666</v>
      </c>
      <c r="N18" s="5"/>
      <c r="O18" s="5"/>
      <c r="P18" s="5"/>
      <c r="Q18" s="5"/>
    </row>
    <row r="19" spans="1:17">
      <c r="A19" s="5" t="s">
        <v>266</v>
      </c>
      <c r="B19" s="8">
        <f>($B$5*0.1-($B$5*0.1*0.501*3%)-($B$5*0.1*0.06)-($B$5*0.1*$H$5)-214800/4*$G$5-8000)/1000</f>
        <v>-55.203713</v>
      </c>
      <c r="C19" s="8">
        <f>($B$5*0.2-($B$5*0.2*0.501*3%)-($B$5*0.2*0.06)-($B$5*0.2*$H$5)-214800/4*$G$5-0)/1000</f>
        <v>-40.707425999999998</v>
      </c>
      <c r="D19" s="8">
        <f>($B$5*0.3-($B$5*0.3*0.501*3%)-($B$5*0.3*0.06)-($B$5*0.3*$H$5)-214800/4*$G$5-0)/1000</f>
        <v>-34.211138999999996</v>
      </c>
      <c r="E19" s="8">
        <f>($B$5*0.4-($B$5*0.4*0.501*3%)-($B$5*0.4*0.06)-($B$5*0.4*$H$5)-214800/4*$G$5-0)/1000</f>
        <v>-27.714852</v>
      </c>
      <c r="F19" s="8">
        <f>($C$5*0.2-($C$5*0.2*0.501*3%)-($C$5*0.2*0.0686323342495684)-($C$5*0.2*$H$5)-324000/4*$G$5-24000)/1000</f>
        <v>-53.520020585375484</v>
      </c>
      <c r="G19" s="8">
        <f>($C$5*0.23-($C$5*0.23*0.501*3%)-($C$5*0.23*0.0686323342495684)-($C$5*0.23*$H$5)-324000/4*$G$5-0)/1000</f>
        <v>-21.798023673181799</v>
      </c>
      <c r="H19" s="8">
        <f>($C$5*0.27-($C$5*0.27*0.501*3%)-($C$5*0.27*0.0686323342495684)-($C$5*0.27*$H$5)-324000/4*$G$5-0)/1000</f>
        <v>-11.502027790256907</v>
      </c>
      <c r="I19" s="8">
        <f>($C$5*0.3-($C$5*0.3*0.501*3%)-($C$5*0.3*0.0686323342495684)-($C$5*0.3*$H$5)-324000/4*$G$5-0)/1000</f>
        <v>-3.7800308780632186</v>
      </c>
      <c r="J19" s="8">
        <f>($D$5*0.2-($D$5*0.2*0.501*3%)-($D$5*0.2*0.102477570147266)-($D$5*0.2*$H$5)-477600/4*$G$5-48000)/1000</f>
        <v>-37.573126437913189</v>
      </c>
      <c r="K19" s="8">
        <f>($D$5*0.23-($D$5*0.23*0.501*3%)-($D$5*0.23*0.102477570147266)-($D$5*0.23*$H$5)-477600/4*$G$5-0)/1000</f>
        <v>29.900904596399837</v>
      </c>
      <c r="L19" s="8">
        <f>($D$5*0.27-($D$5*0.27*0.501*3%)-($D$5*0.27*0.102477570147266)-($D$5*0.27*$H$5)-477600/4*$G$5-0)/1000</f>
        <v>55.866279308817205</v>
      </c>
      <c r="M19" s="8">
        <f>($D$5*0.3-($D$5*0.3*0.501*3%)-($D$5*0.3*0.102477570147266)-($D$5*0.3*$H$5)-477600/4*$G$5-0)/1000</f>
        <v>75.340310343130227</v>
      </c>
      <c r="N19" s="5"/>
      <c r="O19" s="5"/>
      <c r="P19" s="5"/>
      <c r="Q19" s="5"/>
    </row>
    <row r="20" spans="1:17">
      <c r="A20" s="5" t="s">
        <v>561</v>
      </c>
      <c r="B20" s="8">
        <f>B19</f>
        <v>-55.203713</v>
      </c>
      <c r="C20" s="8">
        <f t="shared" ref="C20:M20" si="3">B20+C19</f>
        <v>-95.911138999999991</v>
      </c>
      <c r="D20" s="8">
        <f t="shared" si="3"/>
        <v>-130.12227799999999</v>
      </c>
      <c r="E20" s="8">
        <f t="shared" si="3"/>
        <v>-157.83713</v>
      </c>
      <c r="F20" s="8">
        <f t="shared" si="3"/>
        <v>-211.35715058537548</v>
      </c>
      <c r="G20" s="8">
        <f t="shared" si="3"/>
        <v>-233.15517425855728</v>
      </c>
      <c r="H20" s="8">
        <f t="shared" si="3"/>
        <v>-244.65720204881418</v>
      </c>
      <c r="I20" s="8">
        <f t="shared" si="3"/>
        <v>-248.43723292687741</v>
      </c>
      <c r="J20" s="8">
        <f t="shared" si="3"/>
        <v>-286.01035936479059</v>
      </c>
      <c r="K20" s="8">
        <f t="shared" si="3"/>
        <v>-256.10945476839078</v>
      </c>
      <c r="L20" s="8">
        <f t="shared" si="3"/>
        <v>-200.24317545957356</v>
      </c>
      <c r="M20" s="8">
        <f t="shared" si="3"/>
        <v>-124.90286511644334</v>
      </c>
      <c r="N20" s="5"/>
      <c r="O20" s="5"/>
      <c r="P20" s="5"/>
      <c r="Q20" s="5"/>
    </row>
    <row r="21" spans="1:17">
      <c r="A21" s="5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5"/>
      <c r="O21" s="5"/>
      <c r="P21" s="5"/>
      <c r="Q21" s="5"/>
    </row>
    <row r="22" spans="1:17">
      <c r="A22" s="49" t="s">
        <v>136</v>
      </c>
      <c r="B22" s="50" t="s">
        <v>70</v>
      </c>
      <c r="C22" s="50" t="s">
        <v>71</v>
      </c>
      <c r="D22" s="50" t="s">
        <v>72</v>
      </c>
      <c r="E22" s="50" t="s">
        <v>73</v>
      </c>
      <c r="F22" s="50" t="s">
        <v>74</v>
      </c>
      <c r="G22" s="50" t="s">
        <v>75</v>
      </c>
      <c r="H22" s="50" t="s">
        <v>76</v>
      </c>
      <c r="I22" s="50" t="s">
        <v>77</v>
      </c>
      <c r="J22" s="50" t="s">
        <v>78</v>
      </c>
      <c r="K22" s="50" t="s">
        <v>79</v>
      </c>
      <c r="L22" s="50" t="s">
        <v>80</v>
      </c>
      <c r="M22" s="50" t="s">
        <v>81</v>
      </c>
      <c r="N22" s="5"/>
      <c r="O22" s="5"/>
      <c r="P22" s="5"/>
      <c r="Q22" s="5"/>
    </row>
    <row r="23" spans="1:17">
      <c r="A23" s="5" t="s">
        <v>265</v>
      </c>
      <c r="B23" s="8">
        <f>($B$6*0.1-($B$6*0.1*0.501*3%)-($B$6*0.1*0.06)-($B$6*0.1*$H$6)-66000/4*$G$6-8000)/1000</f>
        <v>-13.279339</v>
      </c>
      <c r="C23" s="8">
        <f>($B$6*0.2-($B$6*0.2*0.501*3%)-($B$6*0.2*0.06)-($B$6*0.2*$H$6)-66000/4*$G$6-0)/1000</f>
        <v>5.1163220000000003</v>
      </c>
      <c r="D23" s="8">
        <f>($B$6*0.3-($B$6*0.3*0.501*3%)-($B$6*0.3*0.06)-($B$6*0.3*$H$6)-66000/4*$G$6-0)/1000</f>
        <v>15.511983000000001</v>
      </c>
      <c r="E23" s="8">
        <f>($B$6*0.4-($B$6*0.4*0.501*3%)-($B$6*0.4*0.06)-($B$6*0.4*$H$6)-66000/4*$G$6-0)/1000</f>
        <v>25.907644000000001</v>
      </c>
      <c r="F23" s="8">
        <f>($C$6*0.2-($C$6*0.2*0.501*3%)-($C$6*0.2*0.0686323342495684)-($C$6*0.2*$H$6)-198800/4*$G$6-24000)/1000</f>
        <v>11.716727583289277</v>
      </c>
      <c r="G23" s="8">
        <f>($C$6*0.23-($C$6*0.23*0.501*3%)-($C$6*0.23*0.0686323342495684)-($C$6*0.23*$H$6)-198800/4*$G$6-0)/1000</f>
        <v>48.156486720782659</v>
      </c>
      <c r="H23" s="8">
        <f>($C$6*0.27-($C$6*0.27*0.501*3%)-($C$6*0.27*0.0686323342495684)-($C$6*0.27*$H$6)-198800/4*$G$6-0)/1000</f>
        <v>64.742832237440524</v>
      </c>
      <c r="I23" s="8">
        <f>($C$6*0.3-($C$6*0.3*0.501*3%)-($C$6*0.3*0.0686323342495684)-($C$6*0.3*$H$6)-198800/4*$G$6-0)/1000</f>
        <v>77.182591374933907</v>
      </c>
      <c r="J23" s="8">
        <f>($D$6*0.2-($D$6*0.2*0.501*3%)-($D$6*0.2*0.102477570147266)-($D$6*0.2*$H$6)-381600/4*$G$6-48000)/1000</f>
        <v>84.253077182594453</v>
      </c>
      <c r="K23" s="8">
        <f>($D$6*0.23-($D$6*0.23*0.501*3%)-($D$6*0.23*0.102477570147266)-($D$6*0.23*$H$6)-381600/4*$G$6-0)/1000</f>
        <v>165.68553875998361</v>
      </c>
      <c r="L23" s="8">
        <f>($D$6*0.27-($D$6*0.27*0.501*3%)-($D$6*0.27*0.102477570147266)-($D$6*0.27*$H$6)-381600/4*$G$6-0)/1000</f>
        <v>210.26215419650248</v>
      </c>
      <c r="M23" s="8">
        <f>($D$6*0.3-($D$6*0.3*0.501*3%)-($D$6*0.3*0.102477570147266)-($D$6*0.3*$H$6)-381600/4*$G$6-0)/1000</f>
        <v>243.69461577389168</v>
      </c>
      <c r="N23" s="5"/>
      <c r="O23" s="5"/>
      <c r="P23" s="5"/>
      <c r="Q23" s="5"/>
    </row>
    <row r="24" spans="1:17">
      <c r="A24" s="5" t="s">
        <v>560</v>
      </c>
      <c r="B24" s="8">
        <f>B23</f>
        <v>-13.279339</v>
      </c>
      <c r="C24" s="8">
        <f t="shared" ref="C24:M24" si="4">B24+C23</f>
        <v>-8.163017</v>
      </c>
      <c r="D24" s="8">
        <f t="shared" si="4"/>
        <v>7.3489660000000008</v>
      </c>
      <c r="E24" s="8">
        <f t="shared" si="4"/>
        <v>33.256610000000002</v>
      </c>
      <c r="F24" s="8">
        <f t="shared" si="4"/>
        <v>44.973337583289279</v>
      </c>
      <c r="G24" s="8">
        <f t="shared" si="4"/>
        <v>93.129824304071946</v>
      </c>
      <c r="H24" s="8">
        <f t="shared" si="4"/>
        <v>157.87265654151247</v>
      </c>
      <c r="I24" s="8">
        <f t="shared" si="4"/>
        <v>235.05524791644638</v>
      </c>
      <c r="J24" s="8">
        <f t="shared" si="4"/>
        <v>319.30832509904081</v>
      </c>
      <c r="K24" s="8">
        <f t="shared" si="4"/>
        <v>484.99386385902443</v>
      </c>
      <c r="L24" s="8">
        <f t="shared" si="4"/>
        <v>695.25601805552697</v>
      </c>
      <c r="M24" s="8">
        <f t="shared" si="4"/>
        <v>938.95063382941862</v>
      </c>
      <c r="N24" s="5"/>
      <c r="O24" s="5"/>
      <c r="P24" s="5"/>
      <c r="Q24" s="5"/>
    </row>
    <row r="25" spans="1:17">
      <c r="A25" s="5" t="s">
        <v>266</v>
      </c>
      <c r="B25" s="8">
        <f>($B$6*0.1-($B$6*0.1*0.501*3%)-($B$6*0.1*0.06)-($B$6*0.1*$H$6)-214800/4*$G$6-8000)/1000</f>
        <v>-48.619338999999997</v>
      </c>
      <c r="C25" s="8">
        <f>($B$6*0.2-($B$6*0.2*0.501*3%)-($B$6*0.2*0.06)-($B$6*0.2*$H$6)-214800/4*$G$6-0)/1000</f>
        <v>-30.223678</v>
      </c>
      <c r="D25" s="8">
        <f>($B$6*0.3-($B$6*0.3*0.501*3%)-($B$6*0.3*0.06)-($B$6*0.3*$H$6)-214800/4*$G$6-0)/1000</f>
        <v>-19.828016999999999</v>
      </c>
      <c r="E25" s="8">
        <f>($B$6*0.4-($B$6*0.4*0.501*3%)-($B$6*0.4*0.06)-($B$6*0.4*$H$6)-214800/4*$G$6-0)/1000</f>
        <v>-9.4323560000000004</v>
      </c>
      <c r="F25" s="8">
        <f>($C$6*0.2-($C$6*0.2*0.501*3%)-($C$6*0.2*0.0686323342495684)-($C$6*0.2*$H$6)-324000/4*$G$6-24000)/1000</f>
        <v>-18.018272416710722</v>
      </c>
      <c r="G25" s="8">
        <f>($C$6*0.23-($C$6*0.23*0.501*3%)-($C$6*0.23*0.0686323342495684)-($C$6*0.23*$H$6)-324000/4*$G$6-0)/1000</f>
        <v>18.42148672078266</v>
      </c>
      <c r="H25" s="8">
        <f>($C$6*0.27-($C$6*0.27*0.501*3%)-($C$6*0.27*0.0686323342495684)-($C$6*0.27*$H$6)-324000/4*$G$6-0)/1000</f>
        <v>35.007832237440525</v>
      </c>
      <c r="I25" s="8">
        <f>($C$6*0.3-($C$6*0.3*0.501*3%)-($C$6*0.3*0.0686323342495684)-($C$6*0.3*$H$6)-324000/4*$G$6-0)/1000</f>
        <v>47.447591374933907</v>
      </c>
      <c r="J25" s="8">
        <f>($D$6*0.2-($D$6*0.2*0.501*3%)-($D$6*0.2*0.102477570147266)-($D$6*0.2*$H$6)-477600/4*$G$6-48000)/1000</f>
        <v>61.453077182594456</v>
      </c>
      <c r="K25" s="8">
        <f>($D$6*0.23-($D$6*0.23*0.501*3%)-($D$6*0.23*0.102477570147266)-($D$6*0.23*$H$6)-477600/4*$G$6-0)/1000</f>
        <v>142.8855387599836</v>
      </c>
      <c r="L25" s="8">
        <f>($D$6*0.27-($D$6*0.27*0.501*3%)-($D$6*0.27*0.102477570147266)-($D$6*0.27*$H$6)-477600/4*$G$6-0)/1000</f>
        <v>187.46215419650247</v>
      </c>
      <c r="M25" s="8">
        <f>($D$6*0.3-($D$6*0.3*0.501*3%)-($D$6*0.3*0.102477570147266)-($D$6*0.3*$H$6)-477600/4*$G$6-0)/1000</f>
        <v>220.89461577389167</v>
      </c>
      <c r="N25" s="5"/>
      <c r="O25" s="5"/>
      <c r="P25" s="5"/>
      <c r="Q25" s="5"/>
    </row>
    <row r="26" spans="1:17">
      <c r="A26" s="5" t="s">
        <v>561</v>
      </c>
      <c r="B26" s="8">
        <f>B25</f>
        <v>-48.619338999999997</v>
      </c>
      <c r="C26" s="8">
        <f t="shared" ref="C26:M26" si="5">B26+C25</f>
        <v>-78.843017000000003</v>
      </c>
      <c r="D26" s="8">
        <f t="shared" si="5"/>
        <v>-98.671034000000006</v>
      </c>
      <c r="E26" s="8">
        <f t="shared" si="5"/>
        <v>-108.10339</v>
      </c>
      <c r="F26" s="8">
        <f t="shared" si="5"/>
        <v>-126.12166241671073</v>
      </c>
      <c r="G26" s="8">
        <f t="shared" si="5"/>
        <v>-107.70017569592807</v>
      </c>
      <c r="H26" s="8">
        <f t="shared" si="5"/>
        <v>-72.692343458487542</v>
      </c>
      <c r="I26" s="8">
        <f t="shared" si="5"/>
        <v>-25.244752083553635</v>
      </c>
      <c r="J26" s="8">
        <f t="shared" si="5"/>
        <v>36.20832509904082</v>
      </c>
      <c r="K26" s="8">
        <f t="shared" si="5"/>
        <v>179.09386385902442</v>
      </c>
      <c r="L26" s="8">
        <f t="shared" si="5"/>
        <v>366.55601805552692</v>
      </c>
      <c r="M26" s="8">
        <f t="shared" si="5"/>
        <v>587.45063382941862</v>
      </c>
      <c r="N26" s="5"/>
      <c r="O26" s="5"/>
      <c r="P26" s="5"/>
      <c r="Q26" s="5"/>
    </row>
    <row r="27" spans="1:1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>
      <c r="A29" s="69" t="s">
        <v>562</v>
      </c>
      <c r="B29" s="69"/>
      <c r="C29" s="69"/>
      <c r="D29" s="69"/>
      <c r="E29" s="69"/>
      <c r="F29" s="69"/>
      <c r="G29" s="69"/>
      <c r="H29" s="69"/>
      <c r="I29" s="69"/>
      <c r="J29" s="69"/>
      <c r="K29" s="5"/>
      <c r="L29" s="5"/>
      <c r="M29" s="5"/>
      <c r="N29" s="5"/>
      <c r="O29" s="5"/>
      <c r="P29" s="5"/>
      <c r="Q29" s="5"/>
    </row>
    <row r="30" spans="1:17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5"/>
      <c r="L30" s="5"/>
      <c r="M30" s="5"/>
      <c r="N30" s="5"/>
      <c r="O30" s="5"/>
      <c r="P30" s="5"/>
      <c r="Q30" s="5"/>
    </row>
    <row r="31" spans="1:17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5"/>
      <c r="L31" s="5"/>
      <c r="M31" s="5"/>
      <c r="N31" s="5"/>
      <c r="O31" s="5"/>
      <c r="P31" s="5"/>
      <c r="Q31" s="5"/>
    </row>
    <row r="32" spans="1:17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5"/>
      <c r="L32" s="5"/>
      <c r="M32" s="5"/>
      <c r="N32" s="5"/>
      <c r="O32" s="5"/>
      <c r="P32" s="5"/>
      <c r="Q32" s="5"/>
    </row>
    <row r="33" spans="1:17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</sheetData>
  <mergeCells count="2">
    <mergeCell ref="A1:J1"/>
    <mergeCell ref="A29:J3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80"/>
  <sheetViews>
    <sheetView workbookViewId="0"/>
  </sheetViews>
  <sheetFormatPr baseColWidth="10" defaultColWidth="8.83203125" defaultRowHeight="15"/>
  <cols>
    <col min="1" max="1" width="32" customWidth="1"/>
    <col min="2" max="2" width="4.83203125" customWidth="1"/>
    <col min="3" max="5" width="4" customWidth="1"/>
    <col min="6" max="13" width="4.83203125" customWidth="1"/>
  </cols>
  <sheetData>
    <row r="1" spans="1:17">
      <c r="A1" s="68" t="s">
        <v>563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5"/>
      <c r="O1" s="5"/>
      <c r="P1" s="5"/>
      <c r="Q1" s="5"/>
    </row>
    <row r="2" spans="1:17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>
      <c r="A3" s="47" t="s">
        <v>93</v>
      </c>
      <c r="B3" s="47" t="s">
        <v>70</v>
      </c>
      <c r="C3" s="47" t="s">
        <v>71</v>
      </c>
      <c r="D3" s="47" t="s">
        <v>72</v>
      </c>
      <c r="E3" s="47" t="s">
        <v>73</v>
      </c>
      <c r="F3" s="47" t="s">
        <v>74</v>
      </c>
      <c r="G3" s="47" t="s">
        <v>75</v>
      </c>
      <c r="H3" s="47" t="s">
        <v>76</v>
      </c>
      <c r="I3" s="47" t="s">
        <v>77</v>
      </c>
      <c r="J3" s="47" t="s">
        <v>78</v>
      </c>
      <c r="K3" s="47" t="s">
        <v>79</v>
      </c>
      <c r="L3" s="47" t="s">
        <v>80</v>
      </c>
      <c r="M3" s="47" t="s">
        <v>81</v>
      </c>
      <c r="N3" s="5"/>
      <c r="O3" s="5"/>
      <c r="P3" s="5"/>
      <c r="Q3" s="5"/>
    </row>
    <row r="4" spans="1:17">
      <c r="A4" s="5" t="s">
        <v>283</v>
      </c>
      <c r="B4" s="8">
        <f>DFC_A!B4</f>
        <v>7.1797752808988768</v>
      </c>
      <c r="C4" s="8">
        <f>DFC_A!C4</f>
        <v>14.160112359550563</v>
      </c>
      <c r="D4" s="8">
        <f>DFC_A!D4</f>
        <v>21.339887640449437</v>
      </c>
      <c r="E4" s="8">
        <f>DFC_A!E4</f>
        <v>28.320224719101127</v>
      </c>
      <c r="F4" s="8">
        <f>DFC_A!F4</f>
        <v>56.640449438202253</v>
      </c>
      <c r="G4" s="8">
        <f>DFC_A!G4</f>
        <v>65.216292134831463</v>
      </c>
      <c r="H4" s="8">
        <f>DFC_A!H4</f>
        <v>76.783707865168537</v>
      </c>
      <c r="I4" s="8">
        <f>DFC_A!I4</f>
        <v>85.359550561797747</v>
      </c>
      <c r="J4" s="8">
        <f>DFC_A!J4</f>
        <v>148.87982832618025</v>
      </c>
      <c r="K4" s="8">
        <f>DFC_A!K4</f>
        <v>171.0321888412017</v>
      </c>
      <c r="L4" s="8">
        <f>DFC_A!L4</f>
        <v>200.9678111587983</v>
      </c>
      <c r="M4" s="8">
        <f>DFC_A!M4</f>
        <v>223.12017167381978</v>
      </c>
      <c r="N4" s="5"/>
      <c r="O4" s="5"/>
      <c r="P4" s="5"/>
      <c r="Q4" s="5"/>
    </row>
    <row r="5" spans="1:17">
      <c r="A5" s="5" t="s">
        <v>284</v>
      </c>
      <c r="B5" s="8">
        <f>DFC_A!B8</f>
        <v>-0.4307865168539326</v>
      </c>
      <c r="C5" s="8">
        <f>DFC_A!C8</f>
        <v>-0.84960674157303384</v>
      </c>
      <c r="D5" s="8">
        <f>DFC_A!D8</f>
        <v>-1.2803932584269662</v>
      </c>
      <c r="E5" s="8">
        <f>DFC_A!E8</f>
        <v>-1.6992134831460677</v>
      </c>
      <c r="F5" s="8">
        <f>DFC_A!F8</f>
        <v>-3.3984269662921354</v>
      </c>
      <c r="G5" s="8">
        <f>DFC_A!G8</f>
        <v>-3.9129775280898875</v>
      </c>
      <c r="H5" s="8">
        <f>DFC_A!H8</f>
        <v>-5.4331671965403521</v>
      </c>
      <c r="I5" s="8">
        <f>DFC_A!I8</f>
        <v>-6.7470112359550551</v>
      </c>
      <c r="J5" s="8">
        <f>DFC_A!J8</f>
        <v>-13.118539456441402</v>
      </c>
      <c r="K5" s="8">
        <f>DFC_A!K8</f>
        <v>-16.830710926314751</v>
      </c>
      <c r="L5" s="8">
        <f>DFC_A!L8</f>
        <v>-21.283010304664021</v>
      </c>
      <c r="M5" s="8">
        <f>DFC_A!M8</f>
        <v>-25.011051502145925</v>
      </c>
      <c r="N5" s="5"/>
      <c r="O5" s="5"/>
      <c r="P5" s="5"/>
      <c r="Q5" s="5"/>
    </row>
    <row r="6" spans="1:17">
      <c r="A6" s="5" t="s">
        <v>285</v>
      </c>
      <c r="B6" s="8">
        <f>DFC_A!B5</f>
        <v>-0.108</v>
      </c>
      <c r="C6" s="8">
        <f>DFC_A!C5</f>
        <v>-0.21299999999999999</v>
      </c>
      <c r="D6" s="8">
        <f>DFC_A!D5</f>
        <v>-0.32100000000000001</v>
      </c>
      <c r="E6" s="8">
        <f>DFC_A!E5</f>
        <v>-0.42599999999999999</v>
      </c>
      <c r="F6" s="8">
        <f>DFC_A!F5</f>
        <v>-0.85199999999999998</v>
      </c>
      <c r="G6" s="8">
        <f>DFC_A!G5</f>
        <v>-0.98099999999999998</v>
      </c>
      <c r="H6" s="8">
        <f>DFC_A!H5</f>
        <v>-1.155</v>
      </c>
      <c r="I6" s="8">
        <f>DFC_A!I5</f>
        <v>-1.284</v>
      </c>
      <c r="J6" s="8">
        <f>DFC_A!J5</f>
        <v>-2.238</v>
      </c>
      <c r="K6" s="8">
        <f>DFC_A!K5</f>
        <v>-2.5710000000000002</v>
      </c>
      <c r="L6" s="8">
        <f>DFC_A!L5</f>
        <v>-3.0209999999999999</v>
      </c>
      <c r="M6" s="8">
        <f>DFC_A!M5</f>
        <v>-3.3540000000000001</v>
      </c>
      <c r="N6" s="5"/>
      <c r="O6" s="5"/>
      <c r="P6" s="5"/>
      <c r="Q6" s="5"/>
    </row>
    <row r="7" spans="1:17">
      <c r="A7" s="5" t="s">
        <v>286</v>
      </c>
      <c r="B7" s="8">
        <f>DFC_A!B6</f>
        <v>-7.1797752808988771E-2</v>
      </c>
      <c r="C7" s="8">
        <f>DFC_A!C6</f>
        <v>-0.14160112359550564</v>
      </c>
      <c r="D7" s="8">
        <f>DFC_A!D6</f>
        <v>-0.21339887640449437</v>
      </c>
      <c r="E7" s="8">
        <f>DFC_A!E6</f>
        <v>-0.28320224719101128</v>
      </c>
      <c r="F7" s="8">
        <f>DFC_A!F6</f>
        <v>-0.56640449438202256</v>
      </c>
      <c r="G7" s="8">
        <f>DFC_A!G6</f>
        <v>-0.65216292134831466</v>
      </c>
      <c r="H7" s="8">
        <f>DFC_A!H6</f>
        <v>-0.76783707865168538</v>
      </c>
      <c r="I7" s="8">
        <f>DFC_A!I6</f>
        <v>-0.85359550561797748</v>
      </c>
      <c r="J7" s="8">
        <f>DFC_A!J6</f>
        <v>-1.4887982832618025</v>
      </c>
      <c r="K7" s="8">
        <f>DFC_A!K6</f>
        <v>-1.710321888412017</v>
      </c>
      <c r="L7" s="8">
        <f>DFC_A!L6</f>
        <v>-2.0096781115879829</v>
      </c>
      <c r="M7" s="8">
        <f>DFC_A!M6</f>
        <v>-2.2312017167381977</v>
      </c>
      <c r="N7" s="5"/>
      <c r="O7" s="5"/>
      <c r="P7" s="5"/>
      <c r="Q7" s="5"/>
    </row>
    <row r="8" spans="1:17">
      <c r="A8" s="5" t="s">
        <v>564</v>
      </c>
      <c r="B8" s="8">
        <f t="shared" ref="B8:M8" si="0">SUM(B4:B7)</f>
        <v>6.5691910112359562</v>
      </c>
      <c r="C8" s="8">
        <f t="shared" si="0"/>
        <v>12.955904494382025</v>
      </c>
      <c r="D8" s="8">
        <f t="shared" si="0"/>
        <v>19.525095505617976</v>
      </c>
      <c r="E8" s="8">
        <f t="shared" si="0"/>
        <v>25.911808988764051</v>
      </c>
      <c r="F8" s="8">
        <f t="shared" si="0"/>
        <v>51.823617977528102</v>
      </c>
      <c r="G8" s="8">
        <f t="shared" si="0"/>
        <v>59.670151685393257</v>
      </c>
      <c r="H8" s="8">
        <f t="shared" si="0"/>
        <v>69.427703589976502</v>
      </c>
      <c r="I8" s="8">
        <f t="shared" si="0"/>
        <v>76.474943820224709</v>
      </c>
      <c r="J8" s="8">
        <f t="shared" si="0"/>
        <v>132.03449058647703</v>
      </c>
      <c r="K8" s="8">
        <f t="shared" si="0"/>
        <v>149.92015602647493</v>
      </c>
      <c r="L8" s="8">
        <f t="shared" si="0"/>
        <v>174.65412274254629</v>
      </c>
      <c r="M8" s="8">
        <f t="shared" si="0"/>
        <v>192.52391845493565</v>
      </c>
      <c r="N8" s="5"/>
      <c r="O8" s="5"/>
      <c r="P8" s="5"/>
      <c r="Q8" s="5"/>
    </row>
    <row r="9" spans="1:17">
      <c r="A9" s="5" t="s">
        <v>565</v>
      </c>
      <c r="B9" s="8">
        <f>DFC_A!B7*0.6</f>
        <v>-9.9</v>
      </c>
      <c r="C9" s="8">
        <f>DFC_A!C7*0.6</f>
        <v>-9.9</v>
      </c>
      <c r="D9" s="8">
        <f>DFC_A!D7*0.6</f>
        <v>-9.9</v>
      </c>
      <c r="E9" s="8">
        <f>DFC_A!E7*0.6</f>
        <v>-9.9</v>
      </c>
      <c r="F9" s="8">
        <f>DFC_A!F7*0.6</f>
        <v>-29.82</v>
      </c>
      <c r="G9" s="8">
        <f>DFC_A!G7*0.6</f>
        <v>-29.82</v>
      </c>
      <c r="H9" s="8">
        <f>DFC_A!H7*0.6</f>
        <v>-29.82</v>
      </c>
      <c r="I9" s="8">
        <f>DFC_A!I7*0.6</f>
        <v>-29.82</v>
      </c>
      <c r="J9" s="8">
        <f>DFC_A!J7*0.6</f>
        <v>-57.24</v>
      </c>
      <c r="K9" s="8">
        <f>DFC_A!K7*0.6</f>
        <v>-57.24</v>
      </c>
      <c r="L9" s="8">
        <f>DFC_A!L7*0.6</f>
        <v>-57.24</v>
      </c>
      <c r="M9" s="8">
        <f>DFC_A!M7*0.6</f>
        <v>-57.24</v>
      </c>
      <c r="N9" s="5"/>
      <c r="O9" s="5"/>
      <c r="P9" s="5"/>
      <c r="Q9" s="5"/>
    </row>
    <row r="10" spans="1:17">
      <c r="A10" s="5" t="s">
        <v>566</v>
      </c>
      <c r="B10" s="8">
        <f t="shared" ref="B10:M10" si="1">B8+B9</f>
        <v>-3.3308089887640442</v>
      </c>
      <c r="C10" s="8">
        <f t="shared" si="1"/>
        <v>3.055904494382025</v>
      </c>
      <c r="D10" s="8">
        <f t="shared" si="1"/>
        <v>9.6250955056179759</v>
      </c>
      <c r="E10" s="8">
        <f t="shared" si="1"/>
        <v>16.011808988764052</v>
      </c>
      <c r="F10" s="8">
        <f t="shared" si="1"/>
        <v>22.003617977528101</v>
      </c>
      <c r="G10" s="8">
        <f t="shared" si="1"/>
        <v>29.850151685393257</v>
      </c>
      <c r="H10" s="8">
        <f t="shared" si="1"/>
        <v>39.607703589976502</v>
      </c>
      <c r="I10" s="8">
        <f t="shared" si="1"/>
        <v>46.654943820224709</v>
      </c>
      <c r="J10" s="8">
        <f t="shared" si="1"/>
        <v>74.794490586477025</v>
      </c>
      <c r="K10" s="8">
        <f t="shared" si="1"/>
        <v>92.680156026474918</v>
      </c>
      <c r="L10" s="8">
        <f t="shared" si="1"/>
        <v>117.41412274254628</v>
      </c>
      <c r="M10" s="8">
        <f t="shared" si="1"/>
        <v>135.28391845493564</v>
      </c>
      <c r="N10" s="5"/>
      <c r="O10" s="5"/>
      <c r="P10" s="5"/>
      <c r="Q10" s="5"/>
    </row>
    <row r="11" spans="1:17">
      <c r="A11" s="5" t="s">
        <v>567</v>
      </c>
      <c r="B11" s="8">
        <f>DFC_A!B7*(1-0.6)</f>
        <v>-6.6000000000000005</v>
      </c>
      <c r="C11" s="8">
        <f>DFC_A!C7*(1-0.6)</f>
        <v>-6.6000000000000005</v>
      </c>
      <c r="D11" s="8">
        <f>DFC_A!D7*(1-0.6)</f>
        <v>-6.6000000000000005</v>
      </c>
      <c r="E11" s="8">
        <f>DFC_A!E7*(1-0.6)</f>
        <v>-6.6000000000000005</v>
      </c>
      <c r="F11" s="8">
        <f>DFC_A!F7*(1-0.6)</f>
        <v>-19.880000000000003</v>
      </c>
      <c r="G11" s="8">
        <f>DFC_A!G7*(1-0.6)</f>
        <v>-19.880000000000003</v>
      </c>
      <c r="H11" s="8">
        <f>DFC_A!H7*(1-0.6)</f>
        <v>-19.880000000000003</v>
      </c>
      <c r="I11" s="8">
        <f>DFC_A!I7*(1-0.6)</f>
        <v>-19.880000000000003</v>
      </c>
      <c r="J11" s="8">
        <f>DFC_A!J7*(1-0.6)</f>
        <v>-38.160000000000004</v>
      </c>
      <c r="K11" s="8">
        <f>DFC_A!K7*(1-0.6)</f>
        <v>-38.160000000000004</v>
      </c>
      <c r="L11" s="8">
        <f>DFC_A!L7*(1-0.6)</f>
        <v>-38.160000000000004</v>
      </c>
      <c r="M11" s="8">
        <f>DFC_A!M7*(1-0.6)</f>
        <v>-38.160000000000004</v>
      </c>
      <c r="N11" s="5"/>
      <c r="O11" s="5"/>
      <c r="P11" s="5"/>
      <c r="Q11" s="5"/>
    </row>
    <row r="12" spans="1:17">
      <c r="A12" s="5" t="s">
        <v>290</v>
      </c>
      <c r="B12" s="8">
        <f t="shared" ref="B12:M12" si="2">B10+B11</f>
        <v>-9.9308089887640456</v>
      </c>
      <c r="C12" s="8">
        <f t="shared" si="2"/>
        <v>-3.5440955056179755</v>
      </c>
      <c r="D12" s="8">
        <f t="shared" si="2"/>
        <v>3.0250955056179754</v>
      </c>
      <c r="E12" s="8">
        <f t="shared" si="2"/>
        <v>9.4118089887640508</v>
      </c>
      <c r="F12" s="8">
        <f t="shared" si="2"/>
        <v>2.1236179775280988</v>
      </c>
      <c r="G12" s="8">
        <f t="shared" si="2"/>
        <v>9.9701516853932546</v>
      </c>
      <c r="H12" s="8">
        <f t="shared" si="2"/>
        <v>19.7277035899765</v>
      </c>
      <c r="I12" s="8">
        <f t="shared" si="2"/>
        <v>26.774943820224706</v>
      </c>
      <c r="J12" s="8">
        <f t="shared" si="2"/>
        <v>36.634490586477021</v>
      </c>
      <c r="K12" s="8">
        <f t="shared" si="2"/>
        <v>54.520156026474915</v>
      </c>
      <c r="L12" s="8">
        <f t="shared" si="2"/>
        <v>79.254122742546286</v>
      </c>
      <c r="M12" s="8">
        <f t="shared" si="2"/>
        <v>97.123918454935648</v>
      </c>
      <c r="N12" s="5"/>
      <c r="O12" s="5"/>
      <c r="P12" s="5"/>
      <c r="Q12" s="5"/>
    </row>
    <row r="13" spans="1:17">
      <c r="A13" s="5" t="s">
        <v>568</v>
      </c>
      <c r="B13" s="8">
        <f>DFC_A!B10</f>
        <v>-8</v>
      </c>
      <c r="C13" s="8">
        <f>DFC_A!C10</f>
        <v>0</v>
      </c>
      <c r="D13" s="8">
        <f>DFC_A!D10</f>
        <v>0</v>
      </c>
      <c r="E13" s="8">
        <f>DFC_A!E10</f>
        <v>0</v>
      </c>
      <c r="F13" s="8">
        <f>DFC_A!F10</f>
        <v>-24</v>
      </c>
      <c r="G13" s="8">
        <f>DFC_A!G10</f>
        <v>0</v>
      </c>
      <c r="H13" s="8">
        <f>DFC_A!H10</f>
        <v>0</v>
      </c>
      <c r="I13" s="8">
        <f>DFC_A!I10</f>
        <v>0</v>
      </c>
      <c r="J13" s="8">
        <f>DFC_A!J10</f>
        <v>-48</v>
      </c>
      <c r="K13" s="8">
        <f>DFC_A!K10</f>
        <v>0</v>
      </c>
      <c r="L13" s="8">
        <f>DFC_A!L10</f>
        <v>0</v>
      </c>
      <c r="M13" s="8">
        <f>DFC_A!M10</f>
        <v>0</v>
      </c>
      <c r="N13" s="5"/>
      <c r="O13" s="5"/>
      <c r="P13" s="5"/>
      <c r="Q13" s="5"/>
    </row>
    <row r="14" spans="1:17">
      <c r="A14" s="5" t="s">
        <v>569</v>
      </c>
      <c r="B14" s="8">
        <f t="shared" ref="B14:M14" si="3">B12+B13</f>
        <v>-17.930808988764046</v>
      </c>
      <c r="C14" s="8">
        <f t="shared" si="3"/>
        <v>-3.5440955056179755</v>
      </c>
      <c r="D14" s="8">
        <f t="shared" si="3"/>
        <v>3.0250955056179754</v>
      </c>
      <c r="E14" s="8">
        <f t="shared" si="3"/>
        <v>9.4118089887640508</v>
      </c>
      <c r="F14" s="8">
        <f t="shared" si="3"/>
        <v>-21.876382022471901</v>
      </c>
      <c r="G14" s="8">
        <f t="shared" si="3"/>
        <v>9.9701516853932546</v>
      </c>
      <c r="H14" s="8">
        <f t="shared" si="3"/>
        <v>19.7277035899765</v>
      </c>
      <c r="I14" s="8">
        <f t="shared" si="3"/>
        <v>26.774943820224706</v>
      </c>
      <c r="J14" s="8">
        <f t="shared" si="3"/>
        <v>-11.365509413522979</v>
      </c>
      <c r="K14" s="8">
        <f t="shared" si="3"/>
        <v>54.520156026474915</v>
      </c>
      <c r="L14" s="8">
        <f t="shared" si="3"/>
        <v>79.254122742546286</v>
      </c>
      <c r="M14" s="8">
        <f t="shared" si="3"/>
        <v>97.123918454935648</v>
      </c>
      <c r="N14" s="5"/>
      <c r="O14" s="5"/>
      <c r="P14" s="5"/>
      <c r="Q14" s="5"/>
    </row>
    <row r="15" spans="1:17">
      <c r="A15" s="5" t="s">
        <v>570</v>
      </c>
      <c r="B15" s="8">
        <f>DFC_A!B12</f>
        <v>47.414382022471891</v>
      </c>
      <c r="C15" s="8">
        <f>DFC_A!C12</f>
        <v>0</v>
      </c>
      <c r="D15" s="8">
        <f>DFC_A!D12</f>
        <v>0</v>
      </c>
      <c r="E15" s="8">
        <f>DFC_A!E12</f>
        <v>0</v>
      </c>
      <c r="F15" s="8">
        <f>DFC_A!F12</f>
        <v>0</v>
      </c>
      <c r="G15" s="8">
        <f>DFC_A!G12</f>
        <v>0</v>
      </c>
      <c r="H15" s="8">
        <f>DFC_A!H12</f>
        <v>0</v>
      </c>
      <c r="I15" s="8">
        <f>DFC_A!I12</f>
        <v>0</v>
      </c>
      <c r="J15" s="8">
        <f>DFC_A!J12</f>
        <v>0</v>
      </c>
      <c r="K15" s="8">
        <f>DFC_A!K12</f>
        <v>0</v>
      </c>
      <c r="L15" s="8">
        <f>DFC_A!L12</f>
        <v>0</v>
      </c>
      <c r="M15" s="8">
        <f>DFC_A!M12</f>
        <v>0</v>
      </c>
      <c r="N15" s="5"/>
      <c r="O15" s="5"/>
      <c r="P15" s="5"/>
      <c r="Q15" s="5"/>
    </row>
    <row r="16" spans="1:17">
      <c r="A16" s="5" t="s">
        <v>571</v>
      </c>
      <c r="B16" s="8">
        <f t="shared" ref="B16:M16" si="4">B14+B15</f>
        <v>29.483573033707845</v>
      </c>
      <c r="C16" s="8">
        <f t="shared" si="4"/>
        <v>-3.5440955056179755</v>
      </c>
      <c r="D16" s="8">
        <f t="shared" si="4"/>
        <v>3.0250955056179754</v>
      </c>
      <c r="E16" s="8">
        <f t="shared" si="4"/>
        <v>9.4118089887640508</v>
      </c>
      <c r="F16" s="8">
        <f t="shared" si="4"/>
        <v>-21.876382022471901</v>
      </c>
      <c r="G16" s="8">
        <f t="shared" si="4"/>
        <v>9.9701516853932546</v>
      </c>
      <c r="H16" s="8">
        <f t="shared" si="4"/>
        <v>19.7277035899765</v>
      </c>
      <c r="I16" s="8">
        <f t="shared" si="4"/>
        <v>26.774943820224706</v>
      </c>
      <c r="J16" s="8">
        <f t="shared" si="4"/>
        <v>-11.365509413522979</v>
      </c>
      <c r="K16" s="8">
        <f t="shared" si="4"/>
        <v>54.520156026474915</v>
      </c>
      <c r="L16" s="8">
        <f t="shared" si="4"/>
        <v>79.254122742546286</v>
      </c>
      <c r="M16" s="8">
        <f t="shared" si="4"/>
        <v>97.123918454935648</v>
      </c>
      <c r="N16" s="5"/>
      <c r="O16" s="5"/>
      <c r="P16" s="5"/>
      <c r="Q16" s="5"/>
    </row>
    <row r="17" spans="1:17">
      <c r="A17" s="5" t="s">
        <v>572</v>
      </c>
      <c r="B17" s="8">
        <f>B16</f>
        <v>29.483573033707845</v>
      </c>
      <c r="C17" s="8">
        <f t="shared" ref="C17:M17" si="5">B17+C16</f>
        <v>25.939477528089871</v>
      </c>
      <c r="D17" s="8">
        <f t="shared" si="5"/>
        <v>28.964573033707847</v>
      </c>
      <c r="E17" s="8">
        <f t="shared" si="5"/>
        <v>38.376382022471901</v>
      </c>
      <c r="F17" s="8">
        <f t="shared" si="5"/>
        <v>16.5</v>
      </c>
      <c r="G17" s="8">
        <f t="shared" si="5"/>
        <v>26.470151685393255</v>
      </c>
      <c r="H17" s="8">
        <f t="shared" si="5"/>
        <v>46.197855275369754</v>
      </c>
      <c r="I17" s="8">
        <f t="shared" si="5"/>
        <v>72.972799095594468</v>
      </c>
      <c r="J17" s="8">
        <f t="shared" si="5"/>
        <v>61.607289682071489</v>
      </c>
      <c r="K17" s="8">
        <f t="shared" si="5"/>
        <v>116.1274457085464</v>
      </c>
      <c r="L17" s="8">
        <f t="shared" si="5"/>
        <v>195.38156845109268</v>
      </c>
      <c r="M17" s="8">
        <f t="shared" si="5"/>
        <v>292.5054869060283</v>
      </c>
      <c r="N17" s="5"/>
      <c r="O17" s="5"/>
      <c r="P17" s="5"/>
      <c r="Q17" s="5"/>
    </row>
    <row r="18" spans="1:17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69" t="s">
        <v>573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5"/>
      <c r="O19" s="5"/>
      <c r="P19" s="5"/>
      <c r="Q19" s="5"/>
    </row>
    <row r="20" spans="1:17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5"/>
      <c r="O20" s="5"/>
      <c r="P20" s="5"/>
      <c r="Q20" s="5"/>
    </row>
    <row r="21" spans="1:17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5"/>
      <c r="O21" s="5"/>
      <c r="P21" s="5"/>
      <c r="Q21" s="5"/>
    </row>
    <row r="22" spans="1:17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5"/>
      <c r="O22" s="5"/>
      <c r="P22" s="5"/>
      <c r="Q22" s="5"/>
    </row>
    <row r="23" spans="1:17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</sheetData>
  <mergeCells count="2">
    <mergeCell ref="A1:M1"/>
    <mergeCell ref="A19:M2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80"/>
  <sheetViews>
    <sheetView workbookViewId="0"/>
  </sheetViews>
  <sheetFormatPr baseColWidth="10" defaultColWidth="8.83203125" defaultRowHeight="15"/>
  <cols>
    <col min="1" max="1" width="32" customWidth="1"/>
    <col min="2" max="13" width="4.83203125" customWidth="1"/>
  </cols>
  <sheetData>
    <row r="1" spans="1:17">
      <c r="A1" s="68" t="s">
        <v>574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5"/>
      <c r="O1" s="5"/>
      <c r="P1" s="5"/>
      <c r="Q1" s="5"/>
    </row>
    <row r="2" spans="1:17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>
      <c r="A3" s="47" t="s">
        <v>93</v>
      </c>
      <c r="B3" s="47" t="s">
        <v>70</v>
      </c>
      <c r="C3" s="47" t="s">
        <v>71</v>
      </c>
      <c r="D3" s="47" t="s">
        <v>72</v>
      </c>
      <c r="E3" s="47" t="s">
        <v>73</v>
      </c>
      <c r="F3" s="47" t="s">
        <v>74</v>
      </c>
      <c r="G3" s="47" t="s">
        <v>75</v>
      </c>
      <c r="H3" s="47" t="s">
        <v>76</v>
      </c>
      <c r="I3" s="47" t="s">
        <v>77</v>
      </c>
      <c r="J3" s="47" t="s">
        <v>78</v>
      </c>
      <c r="K3" s="47" t="s">
        <v>79</v>
      </c>
      <c r="L3" s="47" t="s">
        <v>80</v>
      </c>
      <c r="M3" s="47" t="s">
        <v>81</v>
      </c>
      <c r="N3" s="5"/>
      <c r="O3" s="5"/>
      <c r="P3" s="5"/>
      <c r="Q3" s="5"/>
    </row>
    <row r="4" spans="1:17">
      <c r="A4" s="5" t="s">
        <v>283</v>
      </c>
      <c r="B4" s="8">
        <f>DFC_B!B4</f>
        <v>7.1797752808988768</v>
      </c>
      <c r="C4" s="8">
        <f>DFC_B!C4</f>
        <v>14.160112359550563</v>
      </c>
      <c r="D4" s="8">
        <f>DFC_B!D4</f>
        <v>21.339887640449437</v>
      </c>
      <c r="E4" s="8">
        <f>DFC_B!E4</f>
        <v>28.320224719101127</v>
      </c>
      <c r="F4" s="8">
        <f>DFC_B!F4</f>
        <v>56.640449438202253</v>
      </c>
      <c r="G4" s="8">
        <f>DFC_B!G4</f>
        <v>65.216292134831463</v>
      </c>
      <c r="H4" s="8">
        <f>DFC_B!H4</f>
        <v>76.783707865168537</v>
      </c>
      <c r="I4" s="8">
        <f>DFC_B!I4</f>
        <v>85.359550561797747</v>
      </c>
      <c r="J4" s="8">
        <f>DFC_B!J4</f>
        <v>148.87982832618025</v>
      </c>
      <c r="K4" s="8">
        <f>DFC_B!K4</f>
        <v>171.0321888412017</v>
      </c>
      <c r="L4" s="8">
        <f>DFC_B!L4</f>
        <v>200.9678111587983</v>
      </c>
      <c r="M4" s="8">
        <f>DFC_B!M4</f>
        <v>223.12017167381978</v>
      </c>
      <c r="N4" s="5"/>
      <c r="O4" s="5"/>
      <c r="P4" s="5"/>
      <c r="Q4" s="5"/>
    </row>
    <row r="5" spans="1:17">
      <c r="A5" s="5" t="s">
        <v>284</v>
      </c>
      <c r="B5" s="8">
        <f>DFC_B!B8</f>
        <v>-0.4307865168539326</v>
      </c>
      <c r="C5" s="8">
        <f>DFC_B!C8</f>
        <v>-0.84960674157303384</v>
      </c>
      <c r="D5" s="8">
        <f>DFC_B!D8</f>
        <v>-1.2803932584269662</v>
      </c>
      <c r="E5" s="8">
        <f>DFC_B!E8</f>
        <v>-1.6992134831460677</v>
      </c>
      <c r="F5" s="8">
        <f>DFC_B!F8</f>
        <v>-3.3984269662921354</v>
      </c>
      <c r="G5" s="8">
        <f>DFC_B!G8</f>
        <v>-3.9129775280898875</v>
      </c>
      <c r="H5" s="8">
        <f>DFC_B!H8</f>
        <v>-5.4331671965403521</v>
      </c>
      <c r="I5" s="8">
        <f>DFC_B!I8</f>
        <v>-6.7470112359550551</v>
      </c>
      <c r="J5" s="8">
        <f>DFC_B!J8</f>
        <v>-13.118539456441402</v>
      </c>
      <c r="K5" s="8">
        <f>DFC_B!K8</f>
        <v>-16.830710926314751</v>
      </c>
      <c r="L5" s="8">
        <f>DFC_B!L8</f>
        <v>-21.283010304664021</v>
      </c>
      <c r="M5" s="8">
        <f>DFC_B!M8</f>
        <v>-25.011051502145925</v>
      </c>
      <c r="N5" s="5"/>
      <c r="O5" s="5"/>
      <c r="P5" s="5"/>
      <c r="Q5" s="5"/>
    </row>
    <row r="6" spans="1:17">
      <c r="A6" s="5" t="s">
        <v>285</v>
      </c>
      <c r="B6" s="8">
        <f>DFC_B!B5</f>
        <v>-0.108</v>
      </c>
      <c r="C6" s="8">
        <f>DFC_B!C5</f>
        <v>-0.21299999999999999</v>
      </c>
      <c r="D6" s="8">
        <f>DFC_B!D5</f>
        <v>-0.32100000000000001</v>
      </c>
      <c r="E6" s="8">
        <f>DFC_B!E5</f>
        <v>-0.42599999999999999</v>
      </c>
      <c r="F6" s="8">
        <f>DFC_B!F5</f>
        <v>-0.85199999999999998</v>
      </c>
      <c r="G6" s="8">
        <f>DFC_B!G5</f>
        <v>-0.98099999999999998</v>
      </c>
      <c r="H6" s="8">
        <f>DFC_B!H5</f>
        <v>-1.155</v>
      </c>
      <c r="I6" s="8">
        <f>DFC_B!I5</f>
        <v>-1.284</v>
      </c>
      <c r="J6" s="8">
        <f>DFC_B!J5</f>
        <v>-2.238</v>
      </c>
      <c r="K6" s="8">
        <f>DFC_B!K5</f>
        <v>-2.5710000000000002</v>
      </c>
      <c r="L6" s="8">
        <f>DFC_B!L5</f>
        <v>-3.0209999999999999</v>
      </c>
      <c r="M6" s="8">
        <f>DFC_B!M5</f>
        <v>-3.3540000000000001</v>
      </c>
      <c r="N6" s="5"/>
      <c r="O6" s="5"/>
      <c r="P6" s="5"/>
      <c r="Q6" s="5"/>
    </row>
    <row r="7" spans="1:17">
      <c r="A7" s="5" t="s">
        <v>286</v>
      </c>
      <c r="B7" s="8">
        <f>DFC_B!B6</f>
        <v>-7.1797752808988771E-2</v>
      </c>
      <c r="C7" s="8">
        <f>DFC_B!C6</f>
        <v>-0.14160112359550564</v>
      </c>
      <c r="D7" s="8">
        <f>DFC_B!D6</f>
        <v>-0.21339887640449437</v>
      </c>
      <c r="E7" s="8">
        <f>DFC_B!E6</f>
        <v>-0.28320224719101128</v>
      </c>
      <c r="F7" s="8">
        <f>DFC_B!F6</f>
        <v>-0.56640449438202256</v>
      </c>
      <c r="G7" s="8">
        <f>DFC_B!G6</f>
        <v>-0.65216292134831466</v>
      </c>
      <c r="H7" s="8">
        <f>DFC_B!H6</f>
        <v>-0.76783707865168538</v>
      </c>
      <c r="I7" s="8">
        <f>DFC_B!I6</f>
        <v>-0.85359550561797748</v>
      </c>
      <c r="J7" s="8">
        <f>DFC_B!J6</f>
        <v>-1.4887982832618025</v>
      </c>
      <c r="K7" s="8">
        <f>DFC_B!K6</f>
        <v>-1.710321888412017</v>
      </c>
      <c r="L7" s="8">
        <f>DFC_B!L6</f>
        <v>-2.0096781115879829</v>
      </c>
      <c r="M7" s="8">
        <f>DFC_B!M6</f>
        <v>-2.2312017167381977</v>
      </c>
      <c r="N7" s="5"/>
      <c r="O7" s="5"/>
      <c r="P7" s="5"/>
      <c r="Q7" s="5"/>
    </row>
    <row r="8" spans="1:17">
      <c r="A8" s="5" t="s">
        <v>564</v>
      </c>
      <c r="B8" s="8">
        <f t="shared" ref="B8:M8" si="0">SUM(B4:B7)</f>
        <v>6.5691910112359562</v>
      </c>
      <c r="C8" s="8">
        <f t="shared" si="0"/>
        <v>12.955904494382025</v>
      </c>
      <c r="D8" s="8">
        <f t="shared" si="0"/>
        <v>19.525095505617976</v>
      </c>
      <c r="E8" s="8">
        <f t="shared" si="0"/>
        <v>25.911808988764051</v>
      </c>
      <c r="F8" s="8">
        <f t="shared" si="0"/>
        <v>51.823617977528102</v>
      </c>
      <c r="G8" s="8">
        <f t="shared" si="0"/>
        <v>59.670151685393257</v>
      </c>
      <c r="H8" s="8">
        <f t="shared" si="0"/>
        <v>69.427703589976502</v>
      </c>
      <c r="I8" s="8">
        <f t="shared" si="0"/>
        <v>76.474943820224709</v>
      </c>
      <c r="J8" s="8">
        <f t="shared" si="0"/>
        <v>132.03449058647703</v>
      </c>
      <c r="K8" s="8">
        <f t="shared" si="0"/>
        <v>149.92015602647493</v>
      </c>
      <c r="L8" s="8">
        <f t="shared" si="0"/>
        <v>174.65412274254629</v>
      </c>
      <c r="M8" s="8">
        <f t="shared" si="0"/>
        <v>192.52391845493565</v>
      </c>
      <c r="N8" s="5"/>
      <c r="O8" s="5"/>
      <c r="P8" s="5"/>
      <c r="Q8" s="5"/>
    </row>
    <row r="9" spans="1:17">
      <c r="A9" s="5" t="s">
        <v>565</v>
      </c>
      <c r="B9" s="8">
        <f>DFC_B!B7*0.65</f>
        <v>-34.905000000000001</v>
      </c>
      <c r="C9" s="8">
        <f>DFC_B!C7*0.65</f>
        <v>-34.905000000000001</v>
      </c>
      <c r="D9" s="8">
        <f>DFC_B!D7*0.65</f>
        <v>-34.905000000000001</v>
      </c>
      <c r="E9" s="8">
        <f>DFC_B!E7*0.65</f>
        <v>-34.905000000000001</v>
      </c>
      <c r="F9" s="8">
        <f>DFC_B!F7*0.65</f>
        <v>-52.65</v>
      </c>
      <c r="G9" s="8">
        <f>DFC_B!G7*0.65</f>
        <v>-52.65</v>
      </c>
      <c r="H9" s="8">
        <f>DFC_B!H7*0.65</f>
        <v>-52.65</v>
      </c>
      <c r="I9" s="8">
        <f>DFC_B!I7*0.65</f>
        <v>-52.65</v>
      </c>
      <c r="J9" s="8">
        <f>DFC_B!J7*0.65</f>
        <v>-77.61</v>
      </c>
      <c r="K9" s="8">
        <f>DFC_B!K7*0.65</f>
        <v>-77.61</v>
      </c>
      <c r="L9" s="8">
        <f>DFC_B!L7*0.65</f>
        <v>-77.61</v>
      </c>
      <c r="M9" s="8">
        <f>DFC_B!M7*0.65</f>
        <v>-77.61</v>
      </c>
      <c r="N9" s="5"/>
      <c r="O9" s="5"/>
      <c r="P9" s="5"/>
      <c r="Q9" s="5"/>
    </row>
    <row r="10" spans="1:17">
      <c r="A10" s="5" t="s">
        <v>566</v>
      </c>
      <c r="B10" s="8">
        <f t="shared" ref="B10:M10" si="1">B8+B9</f>
        <v>-28.335808988764043</v>
      </c>
      <c r="C10" s="8">
        <f t="shared" si="1"/>
        <v>-21.949095505617976</v>
      </c>
      <c r="D10" s="8">
        <f t="shared" si="1"/>
        <v>-15.379904494382025</v>
      </c>
      <c r="E10" s="8">
        <f t="shared" si="1"/>
        <v>-8.9931910112359503</v>
      </c>
      <c r="F10" s="8">
        <f t="shared" si="1"/>
        <v>-0.82638202247189696</v>
      </c>
      <c r="G10" s="8">
        <f t="shared" si="1"/>
        <v>7.0201516853932588</v>
      </c>
      <c r="H10" s="8">
        <f t="shared" si="1"/>
        <v>16.777703589976504</v>
      </c>
      <c r="I10" s="8">
        <f t="shared" si="1"/>
        <v>23.824943820224711</v>
      </c>
      <c r="J10" s="8">
        <f t="shared" si="1"/>
        <v>54.424490586477035</v>
      </c>
      <c r="K10" s="8">
        <f t="shared" si="1"/>
        <v>72.310156026474928</v>
      </c>
      <c r="L10" s="8">
        <f t="shared" si="1"/>
        <v>97.044122742546293</v>
      </c>
      <c r="M10" s="8">
        <f t="shared" si="1"/>
        <v>114.91391845493565</v>
      </c>
      <c r="N10" s="5"/>
      <c r="O10" s="5"/>
      <c r="P10" s="5"/>
      <c r="Q10" s="5"/>
    </row>
    <row r="11" spans="1:17">
      <c r="A11" s="5" t="s">
        <v>567</v>
      </c>
      <c r="B11" s="8">
        <f>DFC_B!B7*(1-0.65)</f>
        <v>-18.794999999999998</v>
      </c>
      <c r="C11" s="8">
        <f>DFC_B!C7*(1-0.65)</f>
        <v>-18.794999999999998</v>
      </c>
      <c r="D11" s="8">
        <f>DFC_B!D7*(1-0.65)</f>
        <v>-18.794999999999998</v>
      </c>
      <c r="E11" s="8">
        <f>DFC_B!E7*(1-0.65)</f>
        <v>-18.794999999999998</v>
      </c>
      <c r="F11" s="8">
        <f>DFC_B!F7*(1-0.65)</f>
        <v>-28.349999999999998</v>
      </c>
      <c r="G11" s="8">
        <f>DFC_B!G7*(1-0.65)</f>
        <v>-28.349999999999998</v>
      </c>
      <c r="H11" s="8">
        <f>DFC_B!H7*(1-0.65)</f>
        <v>-28.349999999999998</v>
      </c>
      <c r="I11" s="8">
        <f>DFC_B!I7*(1-0.65)</f>
        <v>-28.349999999999998</v>
      </c>
      <c r="J11" s="8">
        <f>DFC_B!J7*(1-0.65)</f>
        <v>-41.79</v>
      </c>
      <c r="K11" s="8">
        <f>DFC_B!K7*(1-0.65)</f>
        <v>-41.79</v>
      </c>
      <c r="L11" s="8">
        <f>DFC_B!L7*(1-0.65)</f>
        <v>-41.79</v>
      </c>
      <c r="M11" s="8">
        <f>DFC_B!M7*(1-0.65)</f>
        <v>-41.79</v>
      </c>
      <c r="N11" s="5"/>
      <c r="O11" s="5"/>
      <c r="P11" s="5"/>
      <c r="Q11" s="5"/>
    </row>
    <row r="12" spans="1:17">
      <c r="A12" s="5" t="s">
        <v>290</v>
      </c>
      <c r="B12" s="8">
        <f t="shared" ref="B12:M12" si="2">B10+B11</f>
        <v>-47.130808988764045</v>
      </c>
      <c r="C12" s="8">
        <f t="shared" si="2"/>
        <v>-40.744095505617977</v>
      </c>
      <c r="D12" s="8">
        <f t="shared" si="2"/>
        <v>-34.174904494382019</v>
      </c>
      <c r="E12" s="8">
        <f t="shared" si="2"/>
        <v>-27.788191011235948</v>
      </c>
      <c r="F12" s="8">
        <f t="shared" si="2"/>
        <v>-29.176382022471895</v>
      </c>
      <c r="G12" s="8">
        <f t="shared" si="2"/>
        <v>-21.329848314606739</v>
      </c>
      <c r="H12" s="8">
        <f t="shared" si="2"/>
        <v>-11.572296410023494</v>
      </c>
      <c r="I12" s="8">
        <f t="shared" si="2"/>
        <v>-4.5250561797752873</v>
      </c>
      <c r="J12" s="8">
        <f t="shared" si="2"/>
        <v>12.634490586477035</v>
      </c>
      <c r="K12" s="8">
        <f t="shared" si="2"/>
        <v>30.520156026474929</v>
      </c>
      <c r="L12" s="8">
        <f t="shared" si="2"/>
        <v>55.254122742546294</v>
      </c>
      <c r="M12" s="8">
        <f t="shared" si="2"/>
        <v>73.123918454935648</v>
      </c>
      <c r="N12" s="5"/>
      <c r="O12" s="5"/>
      <c r="P12" s="5"/>
      <c r="Q12" s="5"/>
    </row>
    <row r="13" spans="1:17">
      <c r="A13" s="5" t="s">
        <v>568</v>
      </c>
      <c r="B13" s="8">
        <f>DFC_B!B10</f>
        <v>-8</v>
      </c>
      <c r="C13" s="8">
        <f>DFC_B!C10</f>
        <v>0</v>
      </c>
      <c r="D13" s="8">
        <f>DFC_B!D10</f>
        <v>0</v>
      </c>
      <c r="E13" s="8">
        <f>DFC_B!E10</f>
        <v>0</v>
      </c>
      <c r="F13" s="8">
        <f>DFC_B!F10</f>
        <v>-24</v>
      </c>
      <c r="G13" s="8">
        <f>DFC_B!G10</f>
        <v>0</v>
      </c>
      <c r="H13" s="8">
        <f>DFC_B!H10</f>
        <v>0</v>
      </c>
      <c r="I13" s="8">
        <f>DFC_B!I10</f>
        <v>0</v>
      </c>
      <c r="J13" s="8">
        <f>DFC_B!J10</f>
        <v>-48</v>
      </c>
      <c r="K13" s="8">
        <f>DFC_B!K10</f>
        <v>0</v>
      </c>
      <c r="L13" s="8">
        <f>DFC_B!L10</f>
        <v>0</v>
      </c>
      <c r="M13" s="8">
        <f>DFC_B!M10</f>
        <v>0</v>
      </c>
      <c r="N13" s="5"/>
      <c r="O13" s="5"/>
      <c r="P13" s="5"/>
      <c r="Q13" s="5"/>
    </row>
    <row r="14" spans="1:17">
      <c r="A14" s="5" t="s">
        <v>569</v>
      </c>
      <c r="B14" s="8">
        <f t="shared" ref="B14:M14" si="3">B12+B13</f>
        <v>-55.130808988764045</v>
      </c>
      <c r="C14" s="8">
        <f t="shared" si="3"/>
        <v>-40.744095505617977</v>
      </c>
      <c r="D14" s="8">
        <f t="shared" si="3"/>
        <v>-34.174904494382019</v>
      </c>
      <c r="E14" s="8">
        <f t="shared" si="3"/>
        <v>-27.788191011235948</v>
      </c>
      <c r="F14" s="8">
        <f t="shared" si="3"/>
        <v>-53.176382022471898</v>
      </c>
      <c r="G14" s="8">
        <f t="shared" si="3"/>
        <v>-21.329848314606739</v>
      </c>
      <c r="H14" s="8">
        <f t="shared" si="3"/>
        <v>-11.572296410023494</v>
      </c>
      <c r="I14" s="8">
        <f t="shared" si="3"/>
        <v>-4.5250561797752873</v>
      </c>
      <c r="J14" s="8">
        <f t="shared" si="3"/>
        <v>-35.365509413522965</v>
      </c>
      <c r="K14" s="8">
        <f t="shared" si="3"/>
        <v>30.520156026474929</v>
      </c>
      <c r="L14" s="8">
        <f t="shared" si="3"/>
        <v>55.254122742546294</v>
      </c>
      <c r="M14" s="8">
        <f t="shared" si="3"/>
        <v>73.123918454935648</v>
      </c>
      <c r="N14" s="5"/>
      <c r="O14" s="5"/>
      <c r="P14" s="5"/>
      <c r="Q14" s="5"/>
    </row>
    <row r="15" spans="1:17">
      <c r="A15" s="5" t="s">
        <v>570</v>
      </c>
      <c r="B15" s="8">
        <f>DFC_B!B12</f>
        <v>337.50709234040039</v>
      </c>
      <c r="C15" s="8">
        <f>DFC_B!C12</f>
        <v>0</v>
      </c>
      <c r="D15" s="8">
        <f>DFC_B!D12</f>
        <v>0</v>
      </c>
      <c r="E15" s="8">
        <f>DFC_B!E12</f>
        <v>0</v>
      </c>
      <c r="F15" s="8">
        <f>DFC_B!F12</f>
        <v>0</v>
      </c>
      <c r="G15" s="8">
        <f>DFC_B!G12</f>
        <v>0</v>
      </c>
      <c r="H15" s="8">
        <f>DFC_B!H12</f>
        <v>0</v>
      </c>
      <c r="I15" s="8">
        <f>DFC_B!I12</f>
        <v>0</v>
      </c>
      <c r="J15" s="8">
        <f>DFC_B!J12</f>
        <v>0</v>
      </c>
      <c r="K15" s="8">
        <f>DFC_B!K12</f>
        <v>0</v>
      </c>
      <c r="L15" s="8">
        <f>DFC_B!L12</f>
        <v>0</v>
      </c>
      <c r="M15" s="8">
        <f>DFC_B!M12</f>
        <v>0</v>
      </c>
      <c r="N15" s="5"/>
      <c r="O15" s="5"/>
      <c r="P15" s="5"/>
      <c r="Q15" s="5"/>
    </row>
    <row r="16" spans="1:17">
      <c r="A16" s="5" t="s">
        <v>571</v>
      </c>
      <c r="B16" s="8">
        <f t="shared" ref="B16:M16" si="4">B14+B15</f>
        <v>282.37628335163635</v>
      </c>
      <c r="C16" s="8">
        <f t="shared" si="4"/>
        <v>-40.744095505617977</v>
      </c>
      <c r="D16" s="8">
        <f t="shared" si="4"/>
        <v>-34.174904494382019</v>
      </c>
      <c r="E16" s="8">
        <f t="shared" si="4"/>
        <v>-27.788191011235948</v>
      </c>
      <c r="F16" s="8">
        <f t="shared" si="4"/>
        <v>-53.176382022471898</v>
      </c>
      <c r="G16" s="8">
        <f t="shared" si="4"/>
        <v>-21.329848314606739</v>
      </c>
      <c r="H16" s="8">
        <f t="shared" si="4"/>
        <v>-11.572296410023494</v>
      </c>
      <c r="I16" s="8">
        <f t="shared" si="4"/>
        <v>-4.5250561797752873</v>
      </c>
      <c r="J16" s="8">
        <f t="shared" si="4"/>
        <v>-35.365509413522965</v>
      </c>
      <c r="K16" s="8">
        <f t="shared" si="4"/>
        <v>30.520156026474929</v>
      </c>
      <c r="L16" s="8">
        <f t="shared" si="4"/>
        <v>55.254122742546294</v>
      </c>
      <c r="M16" s="8">
        <f t="shared" si="4"/>
        <v>73.123918454935648</v>
      </c>
      <c r="N16" s="5"/>
      <c r="O16" s="5"/>
      <c r="P16" s="5"/>
      <c r="Q16" s="5"/>
    </row>
    <row r="17" spans="1:17">
      <c r="A17" s="5" t="s">
        <v>572</v>
      </c>
      <c r="B17" s="8">
        <f>B16</f>
        <v>282.37628335163635</v>
      </c>
      <c r="C17" s="8">
        <f t="shared" ref="C17:M17" si="5">B17+C16</f>
        <v>241.63218784601838</v>
      </c>
      <c r="D17" s="8">
        <f t="shared" si="5"/>
        <v>207.45728335163636</v>
      </c>
      <c r="E17" s="8">
        <f t="shared" si="5"/>
        <v>179.66909234040043</v>
      </c>
      <c r="F17" s="8">
        <f t="shared" si="5"/>
        <v>126.49271031792853</v>
      </c>
      <c r="G17" s="8">
        <f t="shared" si="5"/>
        <v>105.16286200332179</v>
      </c>
      <c r="H17" s="8">
        <f t="shared" si="5"/>
        <v>93.590565593298294</v>
      </c>
      <c r="I17" s="8">
        <f t="shared" si="5"/>
        <v>89.065509413523003</v>
      </c>
      <c r="J17" s="8">
        <f t="shared" si="5"/>
        <v>53.700000000000038</v>
      </c>
      <c r="K17" s="8">
        <f t="shared" si="5"/>
        <v>84.220156026474967</v>
      </c>
      <c r="L17" s="8">
        <f t="shared" si="5"/>
        <v>139.47427876902125</v>
      </c>
      <c r="M17" s="8">
        <f t="shared" si="5"/>
        <v>212.5981972239569</v>
      </c>
      <c r="N17" s="5"/>
      <c r="O17" s="5"/>
      <c r="P17" s="5"/>
      <c r="Q17" s="5"/>
    </row>
    <row r="18" spans="1:17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69" t="s">
        <v>575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5"/>
      <c r="O19" s="5"/>
      <c r="P19" s="5"/>
      <c r="Q19" s="5"/>
    </row>
    <row r="20" spans="1:17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5"/>
      <c r="O20" s="5"/>
      <c r="P20" s="5"/>
      <c r="Q20" s="5"/>
    </row>
    <row r="21" spans="1:17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5"/>
      <c r="O21" s="5"/>
      <c r="P21" s="5"/>
      <c r="Q21" s="5"/>
    </row>
    <row r="22" spans="1:17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5"/>
      <c r="O22" s="5"/>
      <c r="P22" s="5"/>
      <c r="Q22" s="5"/>
    </row>
    <row r="23" spans="1:17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</sheetData>
  <mergeCells count="2">
    <mergeCell ref="A1:M1"/>
    <mergeCell ref="A19:M2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45"/>
  <sheetViews>
    <sheetView workbookViewId="0"/>
  </sheetViews>
  <sheetFormatPr baseColWidth="10" defaultColWidth="8.83203125" defaultRowHeight="15"/>
  <cols>
    <col min="1" max="1" width="18" customWidth="1"/>
    <col min="2" max="2" width="7" customWidth="1"/>
    <col min="3" max="3" width="28" customWidth="1"/>
    <col min="4" max="4" width="14.1640625" customWidth="1"/>
    <col min="5" max="5" width="16.6640625" customWidth="1"/>
    <col min="6" max="6" width="32.6640625" customWidth="1"/>
    <col min="7" max="7" width="15.83203125" customWidth="1"/>
    <col min="8" max="8" width="16.6640625" customWidth="1"/>
    <col min="9" max="9" width="15.6640625" customWidth="1"/>
    <col min="10" max="10" width="16.6640625" customWidth="1"/>
    <col min="11" max="11" width="16.83203125" customWidth="1"/>
    <col min="12" max="12" width="22.1640625" customWidth="1"/>
    <col min="13" max="14" width="28" customWidth="1"/>
  </cols>
  <sheetData>
    <row r="1" spans="1:14">
      <c r="A1" s="70" t="s">
        <v>576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43">
      <c r="A3" s="51" t="s">
        <v>577</v>
      </c>
      <c r="B3" s="51" t="s">
        <v>3</v>
      </c>
      <c r="C3" s="51" t="s">
        <v>4</v>
      </c>
      <c r="D3" s="51" t="s">
        <v>85</v>
      </c>
      <c r="E3" s="51" t="s">
        <v>578</v>
      </c>
      <c r="F3" s="51" t="s">
        <v>86</v>
      </c>
      <c r="G3" s="5"/>
      <c r="H3" s="5"/>
      <c r="I3" s="5"/>
      <c r="J3" s="5"/>
      <c r="K3" s="5"/>
      <c r="L3" s="5"/>
      <c r="M3" s="5"/>
      <c r="N3" s="5"/>
    </row>
    <row r="4" spans="1:14" ht="43">
      <c r="A4" s="5" t="s">
        <v>579</v>
      </c>
      <c r="B4" s="3">
        <v>0.4</v>
      </c>
      <c r="C4" s="5" t="s">
        <v>580</v>
      </c>
      <c r="D4" s="5" t="s">
        <v>157</v>
      </c>
      <c r="E4" s="5" t="s">
        <v>581</v>
      </c>
      <c r="F4" s="5" t="s">
        <v>582</v>
      </c>
      <c r="G4" s="5"/>
      <c r="H4" s="5"/>
      <c r="I4" s="5"/>
      <c r="J4" s="5"/>
      <c r="K4" s="5"/>
      <c r="L4" s="5"/>
      <c r="M4" s="5"/>
      <c r="N4" s="5"/>
    </row>
    <row r="5" spans="1:14" ht="29">
      <c r="A5" s="5" t="s">
        <v>583</v>
      </c>
      <c r="B5" s="2">
        <v>0</v>
      </c>
      <c r="C5" s="5" t="s">
        <v>584</v>
      </c>
      <c r="D5" s="5" t="s">
        <v>157</v>
      </c>
      <c r="E5" s="5" t="s">
        <v>585</v>
      </c>
      <c r="F5" s="5" t="s">
        <v>586</v>
      </c>
      <c r="G5" s="5"/>
      <c r="H5" s="5"/>
      <c r="I5" s="5"/>
      <c r="J5" s="5"/>
      <c r="K5" s="5"/>
      <c r="L5" s="5"/>
      <c r="M5" s="5"/>
      <c r="N5" s="5"/>
    </row>
    <row r="6" spans="1:14" ht="29">
      <c r="A6" s="5" t="s">
        <v>587</v>
      </c>
      <c r="B6" s="2">
        <v>6200</v>
      </c>
      <c r="C6" s="5" t="s">
        <v>588</v>
      </c>
      <c r="D6" s="5" t="s">
        <v>589</v>
      </c>
      <c r="E6" s="5" t="s">
        <v>590</v>
      </c>
      <c r="F6" s="5" t="s">
        <v>591</v>
      </c>
      <c r="G6" s="5"/>
      <c r="H6" s="5"/>
      <c r="I6" s="5"/>
      <c r="J6" s="5"/>
      <c r="K6" s="5"/>
      <c r="L6" s="5"/>
      <c r="M6" s="5"/>
      <c r="N6" s="5"/>
    </row>
    <row r="7" spans="1:14">
      <c r="A7" s="5" t="s">
        <v>592</v>
      </c>
      <c r="B7" s="2">
        <v>12</v>
      </c>
      <c r="C7" s="5" t="s">
        <v>593</v>
      </c>
      <c r="D7" s="5" t="s">
        <v>13</v>
      </c>
      <c r="E7" s="5" t="s">
        <v>169</v>
      </c>
      <c r="F7" s="5"/>
      <c r="G7" s="5"/>
      <c r="H7" s="5"/>
      <c r="I7" s="5"/>
      <c r="J7" s="5"/>
      <c r="K7" s="5"/>
      <c r="L7" s="5"/>
      <c r="M7" s="5"/>
      <c r="N7" s="5"/>
    </row>
    <row r="8" spans="1:14" ht="29">
      <c r="A8" s="5" t="s">
        <v>594</v>
      </c>
      <c r="B8" s="2">
        <v>2</v>
      </c>
      <c r="C8" s="5" t="s">
        <v>595</v>
      </c>
      <c r="D8" s="5" t="s">
        <v>589</v>
      </c>
      <c r="E8" s="5" t="s">
        <v>585</v>
      </c>
      <c r="F8" s="5" t="s">
        <v>596</v>
      </c>
      <c r="G8" s="5"/>
      <c r="H8" s="5"/>
      <c r="I8" s="5"/>
      <c r="J8" s="5"/>
      <c r="K8" s="5"/>
      <c r="L8" s="5"/>
      <c r="M8" s="5"/>
      <c r="N8" s="5"/>
    </row>
    <row r="9" spans="1:14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29">
      <c r="A11" s="51" t="s">
        <v>259</v>
      </c>
      <c r="B11" s="51" t="s">
        <v>83</v>
      </c>
      <c r="C11" s="51" t="s">
        <v>597</v>
      </c>
      <c r="D11" s="51" t="s">
        <v>598</v>
      </c>
      <c r="E11" s="51" t="s">
        <v>599</v>
      </c>
      <c r="F11" s="51" t="s">
        <v>600</v>
      </c>
      <c r="G11" s="51" t="s">
        <v>601</v>
      </c>
      <c r="H11" s="51" t="s">
        <v>602</v>
      </c>
      <c r="I11" s="51" t="s">
        <v>603</v>
      </c>
      <c r="J11" s="51" t="s">
        <v>604</v>
      </c>
      <c r="K11" s="51" t="s">
        <v>605</v>
      </c>
      <c r="L11" s="51" t="s">
        <v>606</v>
      </c>
      <c r="M11" s="51" t="s">
        <v>607</v>
      </c>
      <c r="N11" s="51" t="s">
        <v>85</v>
      </c>
    </row>
    <row r="12" spans="1:14" ht="29">
      <c r="A12" s="5" t="s">
        <v>125</v>
      </c>
      <c r="B12" s="5" t="s">
        <v>608</v>
      </c>
      <c r="C12" s="5" t="s">
        <v>609</v>
      </c>
      <c r="D12" s="2">
        <v>0</v>
      </c>
      <c r="E12" s="48">
        <v>0</v>
      </c>
      <c r="F12" s="5">
        <f t="shared" ref="F12:F20" si="0">$B$4</f>
        <v>0.4</v>
      </c>
      <c r="G12" s="33">
        <f t="shared" ref="G12:G20" si="1">E12*(1+F12)</f>
        <v>0</v>
      </c>
      <c r="H12" s="33">
        <f t="shared" ref="H12:H20" si="2">D12*G12*$B$7</f>
        <v>0</v>
      </c>
      <c r="I12" s="33">
        <v>0</v>
      </c>
      <c r="J12" s="33">
        <f t="shared" ref="J12:J20" si="3">SUMIFS($H$12:$H$20,$A$12:$A$20,A12,$B$12:$B$20,B12)+I12</f>
        <v>0</v>
      </c>
      <c r="K12" s="33">
        <v>66000</v>
      </c>
      <c r="L12" s="33">
        <f t="shared" ref="L12:L20" si="4">K12-J12</f>
        <v>66000</v>
      </c>
      <c r="M12" s="5" t="s">
        <v>610</v>
      </c>
      <c r="N12" s="5" t="s">
        <v>611</v>
      </c>
    </row>
    <row r="13" spans="1:14" ht="29">
      <c r="A13" s="5" t="s">
        <v>125</v>
      </c>
      <c r="B13" s="5" t="s">
        <v>612</v>
      </c>
      <c r="C13" s="5" t="s">
        <v>613</v>
      </c>
      <c r="D13" s="2">
        <v>1</v>
      </c>
      <c r="E13" s="48">
        <v>5000</v>
      </c>
      <c r="F13" s="5">
        <f t="shared" si="0"/>
        <v>0.4</v>
      </c>
      <c r="G13" s="33">
        <f t="shared" si="1"/>
        <v>7000</v>
      </c>
      <c r="H13" s="33">
        <f t="shared" si="2"/>
        <v>84000</v>
      </c>
      <c r="I13" s="33">
        <v>0</v>
      </c>
      <c r="J13" s="33">
        <f t="shared" si="3"/>
        <v>84000</v>
      </c>
      <c r="K13" s="33">
        <v>198800</v>
      </c>
      <c r="L13" s="33">
        <f t="shared" si="4"/>
        <v>114800</v>
      </c>
      <c r="M13" s="5" t="s">
        <v>614</v>
      </c>
      <c r="N13" s="5" t="s">
        <v>611</v>
      </c>
    </row>
    <row r="14" spans="1:14" ht="29">
      <c r="A14" s="5" t="s">
        <v>125</v>
      </c>
      <c r="B14" s="5" t="s">
        <v>615</v>
      </c>
      <c r="C14" s="5" t="s">
        <v>613</v>
      </c>
      <c r="D14" s="2">
        <v>2</v>
      </c>
      <c r="E14" s="48">
        <v>5500</v>
      </c>
      <c r="F14" s="5">
        <f t="shared" si="0"/>
        <v>0.4</v>
      </c>
      <c r="G14" s="33">
        <f t="shared" si="1"/>
        <v>7699.9999999999991</v>
      </c>
      <c r="H14" s="33">
        <f t="shared" si="2"/>
        <v>184799.99999999997</v>
      </c>
      <c r="I14" s="33">
        <v>0</v>
      </c>
      <c r="J14" s="33">
        <f t="shared" si="3"/>
        <v>184799.99999999997</v>
      </c>
      <c r="K14" s="33">
        <v>381600</v>
      </c>
      <c r="L14" s="33">
        <f t="shared" si="4"/>
        <v>196800.00000000003</v>
      </c>
      <c r="M14" s="5" t="s">
        <v>614</v>
      </c>
      <c r="N14" s="5" t="s">
        <v>611</v>
      </c>
    </row>
    <row r="15" spans="1:14" ht="29">
      <c r="A15" s="5" t="s">
        <v>126</v>
      </c>
      <c r="B15" s="5" t="s">
        <v>608</v>
      </c>
      <c r="C15" s="5" t="s">
        <v>613</v>
      </c>
      <c r="D15" s="2">
        <v>1</v>
      </c>
      <c r="E15" s="48">
        <v>5000</v>
      </c>
      <c r="F15" s="5">
        <f t="shared" si="0"/>
        <v>0.4</v>
      </c>
      <c r="G15" s="33">
        <f t="shared" si="1"/>
        <v>7000</v>
      </c>
      <c r="H15" s="33">
        <f t="shared" si="2"/>
        <v>84000</v>
      </c>
      <c r="I15" s="33">
        <v>0</v>
      </c>
      <c r="J15" s="33">
        <f t="shared" si="3"/>
        <v>176400</v>
      </c>
      <c r="K15" s="33">
        <v>214800</v>
      </c>
      <c r="L15" s="33">
        <f t="shared" si="4"/>
        <v>38400</v>
      </c>
      <c r="M15" s="5" t="s">
        <v>614</v>
      </c>
      <c r="N15" s="5" t="s">
        <v>611</v>
      </c>
    </row>
    <row r="16" spans="1:14" ht="29">
      <c r="A16" s="5" t="s">
        <v>126</v>
      </c>
      <c r="B16" s="5" t="s">
        <v>608</v>
      </c>
      <c r="C16" s="5" t="s">
        <v>616</v>
      </c>
      <c r="D16" s="2">
        <v>1</v>
      </c>
      <c r="E16" s="48">
        <v>5500</v>
      </c>
      <c r="F16" s="5">
        <f t="shared" si="0"/>
        <v>0.4</v>
      </c>
      <c r="G16" s="33">
        <f t="shared" si="1"/>
        <v>7699.9999999999991</v>
      </c>
      <c r="H16" s="33">
        <f t="shared" si="2"/>
        <v>92399.999999999985</v>
      </c>
      <c r="I16" s="33">
        <v>0</v>
      </c>
      <c r="J16" s="33">
        <f t="shared" si="3"/>
        <v>176400</v>
      </c>
      <c r="K16" s="33">
        <v>214800</v>
      </c>
      <c r="L16" s="33">
        <f t="shared" si="4"/>
        <v>38400</v>
      </c>
      <c r="M16" s="5" t="s">
        <v>617</v>
      </c>
      <c r="N16" s="5" t="s">
        <v>611</v>
      </c>
    </row>
    <row r="17" spans="1:14" ht="29">
      <c r="A17" s="5" t="s">
        <v>126</v>
      </c>
      <c r="B17" s="5" t="s">
        <v>612</v>
      </c>
      <c r="C17" s="5" t="s">
        <v>613</v>
      </c>
      <c r="D17" s="2">
        <v>2</v>
      </c>
      <c r="E17" s="48">
        <v>5250</v>
      </c>
      <c r="F17" s="5">
        <f t="shared" si="0"/>
        <v>0.4</v>
      </c>
      <c r="G17" s="33">
        <f t="shared" si="1"/>
        <v>7349.9999999999991</v>
      </c>
      <c r="H17" s="33">
        <f t="shared" si="2"/>
        <v>176399.99999999997</v>
      </c>
      <c r="I17" s="33">
        <v>0</v>
      </c>
      <c r="J17" s="33">
        <f t="shared" si="3"/>
        <v>277200</v>
      </c>
      <c r="K17" s="33">
        <v>324000</v>
      </c>
      <c r="L17" s="33">
        <f t="shared" si="4"/>
        <v>46800</v>
      </c>
      <c r="M17" s="5" t="s">
        <v>614</v>
      </c>
      <c r="N17" s="5" t="s">
        <v>611</v>
      </c>
    </row>
    <row r="18" spans="1:14" ht="29">
      <c r="A18" s="5" t="s">
        <v>126</v>
      </c>
      <c r="B18" s="5" t="s">
        <v>612</v>
      </c>
      <c r="C18" s="5" t="s">
        <v>616</v>
      </c>
      <c r="D18" s="2">
        <v>1</v>
      </c>
      <c r="E18" s="48">
        <v>6000</v>
      </c>
      <c r="F18" s="5">
        <f t="shared" si="0"/>
        <v>0.4</v>
      </c>
      <c r="G18" s="33">
        <f t="shared" si="1"/>
        <v>8400</v>
      </c>
      <c r="H18" s="33">
        <f t="shared" si="2"/>
        <v>100800</v>
      </c>
      <c r="I18" s="33">
        <v>0</v>
      </c>
      <c r="J18" s="33">
        <f t="shared" si="3"/>
        <v>277200</v>
      </c>
      <c r="K18" s="33">
        <v>324000</v>
      </c>
      <c r="L18" s="33">
        <f t="shared" si="4"/>
        <v>46800</v>
      </c>
      <c r="M18" s="5" t="s">
        <v>617</v>
      </c>
      <c r="N18" s="5" t="s">
        <v>611</v>
      </c>
    </row>
    <row r="19" spans="1:14" ht="29">
      <c r="A19" s="5" t="s">
        <v>126</v>
      </c>
      <c r="B19" s="5" t="s">
        <v>615</v>
      </c>
      <c r="C19" s="5" t="s">
        <v>613</v>
      </c>
      <c r="D19" s="2">
        <v>2</v>
      </c>
      <c r="E19" s="48">
        <v>5750</v>
      </c>
      <c r="F19" s="5">
        <f t="shared" si="0"/>
        <v>0.4</v>
      </c>
      <c r="G19" s="33">
        <f t="shared" si="1"/>
        <v>8049.9999999999991</v>
      </c>
      <c r="H19" s="33">
        <f t="shared" si="2"/>
        <v>193199.99999999997</v>
      </c>
      <c r="I19" s="33">
        <v>0</v>
      </c>
      <c r="J19" s="33">
        <f t="shared" si="3"/>
        <v>310800</v>
      </c>
      <c r="K19" s="33">
        <v>477600</v>
      </c>
      <c r="L19" s="33">
        <f t="shared" si="4"/>
        <v>166800</v>
      </c>
      <c r="M19" s="5" t="s">
        <v>614</v>
      </c>
      <c r="N19" s="5" t="s">
        <v>611</v>
      </c>
    </row>
    <row r="20" spans="1:14" ht="29">
      <c r="A20" s="5" t="s">
        <v>126</v>
      </c>
      <c r="B20" s="5" t="s">
        <v>615</v>
      </c>
      <c r="C20" s="5" t="s">
        <v>616</v>
      </c>
      <c r="D20" s="2">
        <v>1</v>
      </c>
      <c r="E20" s="48">
        <v>7000</v>
      </c>
      <c r="F20" s="5">
        <f t="shared" si="0"/>
        <v>0.4</v>
      </c>
      <c r="G20" s="33">
        <f t="shared" si="1"/>
        <v>9800</v>
      </c>
      <c r="H20" s="33">
        <f t="shared" si="2"/>
        <v>117600</v>
      </c>
      <c r="I20" s="33">
        <v>0</v>
      </c>
      <c r="J20" s="33">
        <f t="shared" si="3"/>
        <v>310800</v>
      </c>
      <c r="K20" s="33">
        <v>477600</v>
      </c>
      <c r="L20" s="33">
        <f t="shared" si="4"/>
        <v>166800</v>
      </c>
      <c r="M20" s="5" t="s">
        <v>617</v>
      </c>
      <c r="N20" s="5" t="s">
        <v>611</v>
      </c>
    </row>
    <row r="21" spans="1:14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ht="29">
      <c r="A24" s="51" t="s">
        <v>618</v>
      </c>
      <c r="B24" s="51" t="s">
        <v>619</v>
      </c>
      <c r="C24" s="51" t="s">
        <v>620</v>
      </c>
      <c r="D24" s="51" t="s">
        <v>621</v>
      </c>
      <c r="E24" s="51" t="s">
        <v>622</v>
      </c>
      <c r="F24" s="51" t="s">
        <v>623</v>
      </c>
      <c r="G24" s="51" t="s">
        <v>624</v>
      </c>
      <c r="H24" s="51" t="s">
        <v>625</v>
      </c>
      <c r="I24" s="5"/>
      <c r="J24" s="51" t="s">
        <v>59</v>
      </c>
      <c r="K24" s="51" t="s">
        <v>626</v>
      </c>
      <c r="L24" s="51" t="s">
        <v>627</v>
      </c>
      <c r="M24" s="51" t="s">
        <v>628</v>
      </c>
      <c r="N24" s="51" t="s">
        <v>629</v>
      </c>
    </row>
    <row r="25" spans="1:14">
      <c r="A25" s="5" t="s">
        <v>630</v>
      </c>
      <c r="B25" s="5">
        <f>SUMIFS($D$12:$D$20,$A$12:$A$20,"A",$B$12:$B$20,"A1")</f>
        <v>0</v>
      </c>
      <c r="C25" s="33">
        <f>SUMIFS($H$12:$H$20,$A$12:$A$20,"A",$B$12:$B$20,"A1")</f>
        <v>0</v>
      </c>
      <c r="D25" s="33">
        <v>0</v>
      </c>
      <c r="E25" s="33">
        <f t="shared" ref="E25:E30" si="5">C25+D25</f>
        <v>0</v>
      </c>
      <c r="F25" s="33">
        <f t="shared" ref="F25:F30" si="6">G25-E25</f>
        <v>66000</v>
      </c>
      <c r="G25" s="33">
        <v>66000</v>
      </c>
      <c r="H25" s="5" t="str">
        <f t="shared" ref="H25:H30" si="7">IF(ABS(E25+F25-G25)&lt;1,"OK","REVER")</f>
        <v>OK</v>
      </c>
      <c r="I25" s="5"/>
      <c r="J25" s="5" t="s">
        <v>631</v>
      </c>
      <c r="K25" s="5">
        <v>2</v>
      </c>
      <c r="L25" s="33">
        <v>6200</v>
      </c>
      <c r="M25" s="33">
        <v>12</v>
      </c>
      <c r="N25" s="33">
        <f>K25*L25*M25</f>
        <v>148800</v>
      </c>
    </row>
    <row r="26" spans="1:14">
      <c r="A26" s="5" t="s">
        <v>632</v>
      </c>
      <c r="B26" s="5">
        <f>SUMIFS($D$12:$D$20,$A$12:$A$20,"A",$B$12:$B$20,"A2")</f>
        <v>1</v>
      </c>
      <c r="C26" s="33">
        <f>SUMIFS($H$12:$H$20,$A$12:$A$20,"A",$B$12:$B$20,"A2")</f>
        <v>84000</v>
      </c>
      <c r="D26" s="33">
        <v>0</v>
      </c>
      <c r="E26" s="33">
        <f t="shared" si="5"/>
        <v>84000</v>
      </c>
      <c r="F26" s="33">
        <f t="shared" si="6"/>
        <v>114800</v>
      </c>
      <c r="G26" s="33">
        <v>198800</v>
      </c>
      <c r="H26" s="5" t="str">
        <f t="shared" si="7"/>
        <v>OK</v>
      </c>
      <c r="I26" s="5"/>
      <c r="J26" s="5"/>
      <c r="K26" s="5"/>
      <c r="L26" s="5"/>
      <c r="M26" s="5"/>
      <c r="N26" s="5"/>
    </row>
    <row r="27" spans="1:14">
      <c r="A27" s="5" t="s">
        <v>633</v>
      </c>
      <c r="B27" s="5">
        <f>SUMIFS($D$12:$D$20,$A$12:$A$20,"A",$B$12:$B$20,"A3")</f>
        <v>2</v>
      </c>
      <c r="C27" s="33">
        <f>SUMIFS($H$12:$H$20,$A$12:$A$20,"A",$B$12:$B$20,"A3")</f>
        <v>184799.99999999997</v>
      </c>
      <c r="D27" s="33">
        <v>0</v>
      </c>
      <c r="E27" s="33">
        <f t="shared" si="5"/>
        <v>184799.99999999997</v>
      </c>
      <c r="F27" s="33">
        <f t="shared" si="6"/>
        <v>196800.00000000003</v>
      </c>
      <c r="G27" s="33">
        <v>381600</v>
      </c>
      <c r="H27" s="5" t="str">
        <f t="shared" si="7"/>
        <v>OK</v>
      </c>
      <c r="I27" s="5"/>
      <c r="J27" s="5"/>
      <c r="K27" s="5"/>
      <c r="L27" s="5"/>
      <c r="M27" s="5"/>
      <c r="N27" s="5"/>
    </row>
    <row r="28" spans="1:14">
      <c r="A28" s="5" t="s">
        <v>634</v>
      </c>
      <c r="B28" s="5">
        <f>SUMIFS($D$12:$D$20,$A$12:$A$20,"B",$B$12:$B$20,"A1")</f>
        <v>2</v>
      </c>
      <c r="C28" s="33">
        <f>SUMIFS($H$12:$H$20,$A$12:$A$20,"B",$B$12:$B$20,"A1")</f>
        <v>176400</v>
      </c>
      <c r="D28" s="33">
        <v>0</v>
      </c>
      <c r="E28" s="33">
        <f t="shared" si="5"/>
        <v>176400</v>
      </c>
      <c r="F28" s="33">
        <f t="shared" si="6"/>
        <v>38400</v>
      </c>
      <c r="G28" s="33">
        <v>214800</v>
      </c>
      <c r="H28" s="5" t="str">
        <f t="shared" si="7"/>
        <v>OK</v>
      </c>
      <c r="I28" s="5"/>
      <c r="J28" s="5"/>
      <c r="K28" s="5"/>
      <c r="L28" s="5"/>
      <c r="M28" s="5"/>
      <c r="N28" s="5"/>
    </row>
    <row r="29" spans="1:14">
      <c r="A29" s="5" t="s">
        <v>635</v>
      </c>
      <c r="B29" s="5">
        <f>SUMIFS($D$12:$D$20,$A$12:$A$20,"B",$B$12:$B$20,"A2")</f>
        <v>3</v>
      </c>
      <c r="C29" s="33">
        <f>SUMIFS($H$12:$H$20,$A$12:$A$20,"B",$B$12:$B$20,"A2")</f>
        <v>277200</v>
      </c>
      <c r="D29" s="33">
        <v>0</v>
      </c>
      <c r="E29" s="33">
        <f t="shared" si="5"/>
        <v>277200</v>
      </c>
      <c r="F29" s="33">
        <f t="shared" si="6"/>
        <v>46800</v>
      </c>
      <c r="G29" s="33">
        <v>324000</v>
      </c>
      <c r="H29" s="5" t="str">
        <f t="shared" si="7"/>
        <v>OK</v>
      </c>
      <c r="I29" s="5"/>
      <c r="J29" s="5"/>
      <c r="K29" s="5"/>
      <c r="L29" s="5"/>
      <c r="M29" s="5"/>
      <c r="N29" s="5"/>
    </row>
    <row r="30" spans="1:14">
      <c r="A30" s="5" t="s">
        <v>636</v>
      </c>
      <c r="B30" s="5">
        <f>SUMIFS($D$12:$D$20,$A$12:$A$20,"B",$B$12:$B$20,"A3")</f>
        <v>3</v>
      </c>
      <c r="C30" s="33">
        <f>SUMIFS($H$12:$H$20,$A$12:$A$20,"B",$B$12:$B$20,"A3")</f>
        <v>310800</v>
      </c>
      <c r="D30" s="33">
        <v>0</v>
      </c>
      <c r="E30" s="33">
        <f t="shared" si="5"/>
        <v>310800</v>
      </c>
      <c r="F30" s="33">
        <f t="shared" si="6"/>
        <v>166800</v>
      </c>
      <c r="G30" s="33">
        <v>477600</v>
      </c>
      <c r="H30" s="5" t="str">
        <f t="shared" si="7"/>
        <v>OK</v>
      </c>
      <c r="I30" s="5"/>
      <c r="J30" s="5"/>
      <c r="K30" s="5"/>
      <c r="L30" s="5"/>
      <c r="M30" s="5"/>
      <c r="N30" s="5"/>
    </row>
    <row r="31" spans="1:14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>
      <c r="A34" s="71" t="s">
        <v>637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</row>
    <row r="35" spans="1:14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</row>
    <row r="36" spans="1:14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</row>
    <row r="37" spans="1:14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</row>
    <row r="38" spans="1:14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</row>
    <row r="39" spans="1:14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4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4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4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1:14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</sheetData>
  <mergeCells count="2">
    <mergeCell ref="A1:N1"/>
    <mergeCell ref="A34:N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Premissas</vt:lpstr>
      <vt:lpstr>Receita</vt:lpstr>
      <vt:lpstr>DFC_A</vt:lpstr>
      <vt:lpstr>DFC_B</vt:lpstr>
      <vt:lpstr>Resumo</vt:lpstr>
      <vt:lpstr>Sensibilidade</vt:lpstr>
      <vt:lpstr>Receita_v2</vt:lpstr>
      <vt:lpstr>Tributacao_v3</vt:lpstr>
      <vt:lpstr>Stress_Test</vt:lpstr>
      <vt:lpstr>DFC_Final_A</vt:lpstr>
      <vt:lpstr>DFC_Final_B</vt:lpstr>
      <vt:lpstr>Entregaveis_E6</vt:lpstr>
      <vt:lpstr>Cenarios_Oficiais_v6</vt:lpstr>
      <vt:lpstr>Viabilidade_S06</vt:lpstr>
      <vt:lpstr>Plano_S06</vt:lpstr>
      <vt:lpstr>E6_Cobertura</vt:lpstr>
      <vt:lpstr>E6_Cenarios_Final</vt:lpstr>
      <vt:lpstr>E6_DFC_A_Final</vt:lpstr>
      <vt:lpstr>E6_DFC_B_Final</vt:lpstr>
      <vt:lpstr>E6_Pessoal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Ellyan Góes</cp:lastModifiedBy>
  <dcterms:created xsi:type="dcterms:W3CDTF">2026-09-16T21:08:55Z</dcterms:created>
  <dcterms:modified xsi:type="dcterms:W3CDTF">2026-09-16T21:08:55Z</dcterms:modified>
</cp:coreProperties>
</file>